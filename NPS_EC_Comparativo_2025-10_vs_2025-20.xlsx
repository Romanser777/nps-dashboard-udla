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roman\Desktop\"/>
    </mc:Choice>
  </mc:AlternateContent>
  <xr:revisionPtr revIDLastSave="0" documentId="13_ncr:1_{ADE5F5C7-6EDB-43E9-A4AD-E0E59BCC608B}" xr6:coauthVersionLast="47" xr6:coauthVersionMax="47" xr10:uidLastSave="{00000000-0000-0000-0000-000000000000}"/>
  <bookViews>
    <workbookView xWindow="-120" yWindow="-120" windowWidth="20730" windowHeight="11040" tabRatio="752" xr2:uid="{00000000-000D-0000-FFFF-FFFF00000000}"/>
  </bookViews>
  <sheets>
    <sheet name="Análisis Global NPS" sheetId="1" r:id="rId1"/>
    <sheet name="Detalle 2025-10" sheetId="2" r:id="rId2"/>
    <sheet name="Detalle 2025-20" sheetId="3" r:id="rId3"/>
    <sheet name="Comentarios 2025-10" sheetId="4" r:id="rId4"/>
    <sheet name="Comentarios 2025-20"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1" l="1"/>
  <c r="H66" i="3"/>
  <c r="G66" i="3"/>
  <c r="H65" i="3"/>
  <c r="G65" i="3"/>
  <c r="H64" i="3"/>
  <c r="G64" i="3"/>
  <c r="H63" i="3"/>
  <c r="G63" i="3"/>
  <c r="H62" i="3"/>
  <c r="G62" i="3"/>
  <c r="H61" i="3"/>
  <c r="G61" i="3"/>
  <c r="H60" i="3"/>
  <c r="G60" i="3"/>
  <c r="H55" i="3"/>
  <c r="G55" i="3"/>
  <c r="H54" i="3"/>
  <c r="G54" i="3"/>
  <c r="H53" i="3"/>
  <c r="G53" i="3"/>
  <c r="H52" i="3"/>
  <c r="G52" i="3"/>
  <c r="H46" i="3"/>
  <c r="G46" i="3"/>
  <c r="H45" i="3"/>
  <c r="G45" i="3"/>
  <c r="H44" i="3"/>
  <c r="G44" i="3"/>
  <c r="H43" i="3"/>
  <c r="G43" i="3"/>
  <c r="H42" i="3"/>
  <c r="G42" i="3"/>
  <c r="H41" i="3"/>
  <c r="G41" i="3"/>
  <c r="H40" i="3"/>
  <c r="G40" i="3"/>
  <c r="H39" i="3"/>
  <c r="G39" i="3"/>
  <c r="H38" i="3"/>
  <c r="G38" i="3"/>
  <c r="H34" i="3"/>
  <c r="G34" i="3"/>
  <c r="H33" i="3"/>
  <c r="G33" i="3"/>
  <c r="H32" i="3"/>
  <c r="G32" i="3"/>
  <c r="H31" i="3"/>
  <c r="G31" i="3"/>
  <c r="H30" i="3"/>
  <c r="G30" i="3"/>
  <c r="H29" i="3"/>
  <c r="G29" i="3"/>
  <c r="H26" i="3"/>
  <c r="G26" i="3"/>
  <c r="H25" i="3"/>
  <c r="G25" i="3"/>
  <c r="H24" i="3"/>
  <c r="G24" i="3"/>
  <c r="H23" i="3"/>
  <c r="G23" i="3"/>
  <c r="H22" i="3"/>
  <c r="G22" i="3"/>
  <c r="H21" i="3"/>
  <c r="G21" i="3"/>
  <c r="H17" i="3"/>
  <c r="G17" i="3"/>
  <c r="H16" i="3"/>
  <c r="G16" i="3"/>
  <c r="H13" i="3"/>
  <c r="G13" i="3"/>
  <c r="H12" i="3"/>
  <c r="G12" i="3"/>
  <c r="H11" i="3"/>
  <c r="G11" i="3"/>
  <c r="H7" i="3"/>
  <c r="G7" i="3"/>
  <c r="H6" i="3"/>
  <c r="G6" i="3"/>
  <c r="H64" i="2"/>
  <c r="G64" i="2"/>
  <c r="H63" i="2"/>
  <c r="G63" i="2"/>
  <c r="H62" i="2"/>
  <c r="G62" i="2"/>
  <c r="H61" i="2"/>
  <c r="G61" i="2"/>
  <c r="H60" i="2"/>
  <c r="G60" i="2"/>
  <c r="H59" i="2"/>
  <c r="G59" i="2"/>
  <c r="H58" i="2"/>
  <c r="G58" i="2"/>
  <c r="H57" i="2"/>
  <c r="G57" i="2"/>
  <c r="H56" i="2"/>
  <c r="G56" i="2"/>
  <c r="H55" i="2"/>
  <c r="G55" i="2"/>
  <c r="H54" i="2"/>
  <c r="G54" i="2"/>
  <c r="H50" i="2"/>
  <c r="G50" i="2"/>
  <c r="H49" i="2"/>
  <c r="G49" i="2"/>
  <c r="H48" i="2"/>
  <c r="G48" i="2"/>
  <c r="H47" i="2"/>
  <c r="G47" i="2"/>
  <c r="H46" i="2"/>
  <c r="G46" i="2"/>
  <c r="H43" i="2"/>
  <c r="G43" i="2"/>
  <c r="H42" i="2"/>
  <c r="G42" i="2"/>
  <c r="H41" i="2"/>
  <c r="G41" i="2"/>
  <c r="H40" i="2"/>
  <c r="G40" i="2"/>
  <c r="H39" i="2"/>
  <c r="G39" i="2"/>
  <c r="H38" i="2"/>
  <c r="G38" i="2"/>
  <c r="H37" i="2"/>
  <c r="G37" i="2"/>
  <c r="H36" i="2"/>
  <c r="G36" i="2"/>
  <c r="H35" i="2"/>
  <c r="G35" i="2"/>
  <c r="H34" i="2"/>
  <c r="G34" i="2"/>
  <c r="H33" i="2"/>
  <c r="G33" i="2"/>
  <c r="H30" i="2"/>
  <c r="G30" i="2"/>
  <c r="H29" i="2"/>
  <c r="G29" i="2"/>
  <c r="H28" i="2"/>
  <c r="G28" i="2"/>
  <c r="H27" i="2"/>
  <c r="G27" i="2"/>
  <c r="H26" i="2"/>
  <c r="G26" i="2"/>
  <c r="H25" i="2"/>
  <c r="G25" i="2"/>
  <c r="H24" i="2"/>
  <c r="G24" i="2"/>
  <c r="H21" i="2"/>
  <c r="G21" i="2"/>
  <c r="H20" i="2"/>
  <c r="G20" i="2"/>
  <c r="H19" i="2"/>
  <c r="G19" i="2"/>
  <c r="H18" i="2"/>
  <c r="G18" i="2"/>
  <c r="H17" i="2"/>
  <c r="G17" i="2"/>
  <c r="H16" i="2"/>
  <c r="G16" i="2"/>
  <c r="H15" i="2"/>
  <c r="G15" i="2"/>
  <c r="H14" i="2"/>
  <c r="G14" i="2"/>
  <c r="H10" i="2"/>
  <c r="G10" i="2"/>
  <c r="H6" i="2"/>
  <c r="G6" i="2"/>
  <c r="J16" i="1"/>
  <c r="I16" i="1"/>
  <c r="H16" i="1"/>
  <c r="E16" i="1"/>
  <c r="C16" i="1"/>
  <c r="K15" i="1"/>
  <c r="F15" i="1"/>
  <c r="K14" i="1"/>
  <c r="F14" i="1"/>
  <c r="K13" i="1"/>
  <c r="L13" i="1" s="1"/>
  <c r="F13" i="1"/>
  <c r="K12" i="1"/>
  <c r="L12" i="1" s="1"/>
  <c r="F12" i="1"/>
  <c r="K11" i="1"/>
  <c r="F11" i="1"/>
  <c r="K10" i="1"/>
  <c r="K9" i="1"/>
  <c r="F9" i="1"/>
  <c r="K8" i="1"/>
  <c r="L14" i="1" l="1"/>
  <c r="L15" i="1"/>
  <c r="L11" i="1"/>
  <c r="L9" i="1"/>
  <c r="K16" i="1"/>
  <c r="F16" i="1"/>
  <c r="F8" i="1"/>
  <c r="L8" i="1" s="1"/>
  <c r="L16" i="1"/>
</calcChain>
</file>

<file path=xl/sharedStrings.xml><?xml version="1.0" encoding="utf-8"?>
<sst xmlns="http://schemas.openxmlformats.org/spreadsheetml/2006/main" count="1869" uniqueCount="516">
  <si>
    <t>Análisis Global NPS – Encuesta de Satisfacción Educación Continua</t>
  </si>
  <si>
    <t>NPS Global
2025-10
72%</t>
  </si>
  <si>
    <t>NPS Global
2025-20
69%</t>
  </si>
  <si>
    <t>Variación
NPS
▼ 3 pp</t>
  </si>
  <si>
    <t>Respuestas
2025-10
352</t>
  </si>
  <si>
    <t>Respuestas
2025-20
240</t>
  </si>
  <si>
    <t>Var. Respuestas
▼ 112</t>
  </si>
  <si>
    <t>Promotores
2025-10
282 (80%)</t>
  </si>
  <si>
    <t>Promotores
2025-20
188 (78%)</t>
  </si>
  <si>
    <t>NPS por Facultad</t>
  </si>
  <si>
    <t>Facultad</t>
  </si>
  <si>
    <t>N° Prog.
2025-10</t>
  </si>
  <si>
    <t>Resp.
2025-10</t>
  </si>
  <si>
    <t>Prom.
2025-10</t>
  </si>
  <si>
    <t>Det.
2025-10</t>
  </si>
  <si>
    <t>NPS
2025-10</t>
  </si>
  <si>
    <t>N° Prog.
2025-20</t>
  </si>
  <si>
    <t>Resp.
2025-20</t>
  </si>
  <si>
    <t>Prom.
2025-20</t>
  </si>
  <si>
    <t>Det.
2025-20</t>
  </si>
  <si>
    <t>NPS
2025-20</t>
  </si>
  <si>
    <t>Var. NPS
(pp)</t>
  </si>
  <si>
    <t>Arquitectura, Diseño y Constr.</t>
  </si>
  <si>
    <t>Comunicaciones</t>
  </si>
  <si>
    <t>Derecho</t>
  </si>
  <si>
    <t>Sin resp. (*)</t>
  </si>
  <si>
    <t>—</t>
  </si>
  <si>
    <t>N/D</t>
  </si>
  <si>
    <t>Educación</t>
  </si>
  <si>
    <t>Educación VRA</t>
  </si>
  <si>
    <t>Ingeniería y Negocios</t>
  </si>
  <si>
    <t>Med. Veterinaria y Agronomía</t>
  </si>
  <si>
    <t>Salud y Ciencias Sociales</t>
  </si>
  <si>
    <t>TOTAL</t>
  </si>
  <si>
    <t>(*) Derecho 2025-10: la facultad no registró respuestas en este período y no se incluye en el total ni en el NPS global 2025-10.</t>
  </si>
  <si>
    <t>NPS por Programa – Educación Continua  |  Período 2025-10</t>
  </si>
  <si>
    <t>Universidad de Las Américas  |  352 respuestas  |  NPS global: 72%</t>
  </si>
  <si>
    <t>Programa</t>
  </si>
  <si>
    <t>N° Resp.</t>
  </si>
  <si>
    <t>Prom.
(6-7)</t>
  </si>
  <si>
    <t>Pas.
(5)</t>
  </si>
  <si>
    <t>Det.
(1-4)</t>
  </si>
  <si>
    <t>% Prom.</t>
  </si>
  <si>
    <t>NPS</t>
  </si>
  <si>
    <t xml:space="preserve">  Arquitectura, Diseño y Constr.  —  4 respuestas  |  NPS: 75%</t>
  </si>
  <si>
    <t>Diplomado BIM en integración del diseño, coordinación y revisión para proyectos AEC</t>
  </si>
  <si>
    <t>Diplomado en Gestión de Infraestructura</t>
  </si>
  <si>
    <t>Sin respuestas</t>
  </si>
  <si>
    <t xml:space="preserve">  Comunicaciones  —  1 respuestas  |  NPS: 0%</t>
  </si>
  <si>
    <t>Diplomado en Comunicación y Marketing Digital para emprender</t>
  </si>
  <si>
    <t xml:space="preserve">  Derecho  —  Sin respuestas en este período. La facultad no participó en la encuesta 2025-10.</t>
  </si>
  <si>
    <t xml:space="preserve">  Educación  —  84 respuestas  |  NPS: 87%</t>
  </si>
  <si>
    <t>Diplomado en Orientación Educacional, Vocacional y Familiar</t>
  </si>
  <si>
    <t>Diplomado en Convivencia Escolar y Aprendizaje Socioemocional</t>
  </si>
  <si>
    <t>Diplomado en Diversificación de la Enseñanza para la Educación Inclusiva</t>
  </si>
  <si>
    <t>Diplomado en Evaluación y Diseño de Instrumentos para el contexto escolar</t>
  </si>
  <si>
    <t>Diplomado en Necesidades Educativas Especiales Y Contextos Inclusivos</t>
  </si>
  <si>
    <t>Postítulo en Discapacidad intelectual y educación inclusiva</t>
  </si>
  <si>
    <t>Diplomado en Alfabetización inicial y didáctica para la primera infancia</t>
  </si>
  <si>
    <t>Diplomado en Motricidad Infantil</t>
  </si>
  <si>
    <t xml:space="preserve">  Educación VRA  —  26 respuestas  |  NPS: 58%</t>
  </si>
  <si>
    <t>Diplomado en Enfoque de género e interculturalidad para la Educación Superior</t>
  </si>
  <si>
    <t>Diplomado en Competencias Digitales para la Docencia</t>
  </si>
  <si>
    <t>Diplomado en Docencia para el Aprendizaje a lo Largo de la Vida</t>
  </si>
  <si>
    <t>Diplomado en Integración de la Inteligencia Artificial en el Ámbito Educativo</t>
  </si>
  <si>
    <t>Diplomado en Evaluación Educativa: desde la comprensión a la contextualización en el aula</t>
  </si>
  <si>
    <t>Diplomado en Investigación – Acción Aplicada a la Docencia Universitaria</t>
  </si>
  <si>
    <t>Diplomado en Innovación en Docencia Universitaria</t>
  </si>
  <si>
    <t xml:space="preserve">  Ingeniería y Negocios  —  118 respuestas  |  NPS: 72%</t>
  </si>
  <si>
    <t>Diplomado en Ciberseguridad y Gestión</t>
  </si>
  <si>
    <t>Diplomado en Gestión Ambiental bajo Norma ISO14001 con mención en Auditor Líder</t>
  </si>
  <si>
    <t>Diplomado en Turismo Cultural y Las Industrias Creativas</t>
  </si>
  <si>
    <t>Diplomado en Gestión de Turismo de Intereses Especiales</t>
  </si>
  <si>
    <t>Diplomado En Gestión Y Planificación Tributaria</t>
  </si>
  <si>
    <t>Diplomado en Data Science</t>
  </si>
  <si>
    <t>Diplomado en Normativa Laboral Aplicada</t>
  </si>
  <si>
    <t>Diplomado en Sistemas Integrados de Gestión de Calidad, Medio Ambiente y Seguridad con Mención en Auditor Líder SIG</t>
  </si>
  <si>
    <t>Diplomado en Inteligencia Artificial en los Negocios</t>
  </si>
  <si>
    <t>Diplomado en Auditor líder en Gestión de Riesgos en Seguridad y Salud Ocupacional bajo Norma ISO 45001</t>
  </si>
  <si>
    <t>Diplomado en Producción de Eventos Empresariales, Tecnologías e Inteligencia Artificial</t>
  </si>
  <si>
    <t xml:space="preserve">  Med. Veterinaria y Agronomía  —  28 respuestas  |  NPS: 57%</t>
  </si>
  <si>
    <t>Diplomado en Agroecología</t>
  </si>
  <si>
    <t>Diplomado en imagenología de animales pequeños</t>
  </si>
  <si>
    <t>Diplomado De Diagnóstico Y Control De Plagas Urbanas</t>
  </si>
  <si>
    <t>Diplomado en Medicina Interna en Caninos</t>
  </si>
  <si>
    <t>Diplomado En Diseño De Sistemas De Riego Y Fertirrigación</t>
  </si>
  <si>
    <t>Diplomado en Anestesia y manejo de dolor en pequeños animales</t>
  </si>
  <si>
    <t xml:space="preserve">  Salud y Ciencias Sociales  —  91 respuestas  |  NPS: 67%</t>
  </si>
  <si>
    <t>Diplomado en Nutrición Deportiva y Fitness</t>
  </si>
  <si>
    <t>Diplomado en Psicología Aplicada a la Actividad Física y el Deporte</t>
  </si>
  <si>
    <t>Diplomado en Gerontogeriatria Interdisciplinaria</t>
  </si>
  <si>
    <t>Diplomado en Gestión de Personas y Cambio Organizacional</t>
  </si>
  <si>
    <t>Diplomado en Gestión y coordinación de programas en Atención Primaria de Salud con enfoque en el Modelo de Atención Integral en Salud (MAIS)</t>
  </si>
  <si>
    <t>Diplomado en Trastorno del Espectro Autista y Discapacidad Intelectual en el Curso de la Vida</t>
  </si>
  <si>
    <t>Diplomado en Salud Familiar y Comunitario</t>
  </si>
  <si>
    <t>Diplomado en Inteligencia Artificial para Profesionales de la Salud</t>
  </si>
  <si>
    <t>Diplomado en Peritaje Psicosocial En Materia Penal Y Familia</t>
  </si>
  <si>
    <t>Diplomado en Salud Mental: Abordaje Interdisciplinario Y Gestión Clínica</t>
  </si>
  <si>
    <t>Diplomado en Fisiología Humana con orientación clínica</t>
  </si>
  <si>
    <t>NPS=(Prom.−Det.)/Resp.  |  Promotores=6-7  |  Pasivos=5  |  Detractores=1-4  |  Filas grises=sin respuestas en el período</t>
  </si>
  <si>
    <t>NPS por Programa – Educación Continua  |  Período 2025-20</t>
  </si>
  <si>
    <t>Universidad de Las Américas  |  240 respuestas  |  NPS global: 69%</t>
  </si>
  <si>
    <t xml:space="preserve">  Arquitectura, Diseño y Constr.  —  3 respuestas  |  NPS: 100%</t>
  </si>
  <si>
    <t>Diplomado en Gestión de proyectos inmobiliarios</t>
  </si>
  <si>
    <t xml:space="preserve">  Comunicaciones  —  15 respuestas  |  NPS: 93%</t>
  </si>
  <si>
    <t>Diplomado en Traducción Audiovisual: Subtitulado y Doblaje</t>
  </si>
  <si>
    <t>Diplomado en Enseñanza del Inglés con Enfoque Inclusivo</t>
  </si>
  <si>
    <t>Diplomado en Inteligencia Artificial, periodismo y comunicaciones: innovación y ética en la era digital</t>
  </si>
  <si>
    <t xml:space="preserve">  Derecho  —  16 respuestas  |  NPS: 75%</t>
  </si>
  <si>
    <t>Diplomado en Litigación y Argumentación</t>
  </si>
  <si>
    <t>Diplomado en Derecho Inmobiliario</t>
  </si>
  <si>
    <t>Diplomado De Mediación Y Resolución De Conflictos En El Ámbito De La Familia</t>
  </si>
  <si>
    <t xml:space="preserve">  Educación  —  45 respuestas  |  NPS: 80%</t>
  </si>
  <si>
    <t xml:space="preserve">  Educación VRA  —  28 respuestas  |  NPS: 82%</t>
  </si>
  <si>
    <t xml:space="preserve">  Ingeniería y Negocios  —  51 respuestas  |  NPS: 65%</t>
  </si>
  <si>
    <t>Diplomado En Gestión Turistica Sostenible</t>
  </si>
  <si>
    <t>Diplomado en Desarrollo de Habilidades e Innovación en el Aula Matemática</t>
  </si>
  <si>
    <t>Diplomado en Bioestadística</t>
  </si>
  <si>
    <t>Diplomado en Gestión y Manejo de Sustancias y Residuos Peligrosos en la Industria mención auditor interno</t>
  </si>
  <si>
    <t>Diplomado en Producción de Eventos y Mediación Artística</t>
  </si>
  <si>
    <t>Diplomado en Gestión y Operación en Alimentos y Bebidas</t>
  </si>
  <si>
    <t>Diplomado en Gestión Energética: Certificación de Gestor Energético Ley 21.305 y Auditor Líder ISO 50001</t>
  </si>
  <si>
    <t>Diplomado en Gestión de Emergencias y Respuestas ante Desastres bajo Norma ISO 22320</t>
  </si>
  <si>
    <t xml:space="preserve">  Med. Veterinaria y Agronomía  —  22 respuestas  |  NPS: 50%</t>
  </si>
  <si>
    <t>Diplomado en Apicultura</t>
  </si>
  <si>
    <t>Diplomado en Traumatología y Ortopedia Veterinaria</t>
  </si>
  <si>
    <t>Diplomado en Medicina Equina</t>
  </si>
  <si>
    <t>Diplomado en Rehabilitación y Fisiatría Veterinaria</t>
  </si>
  <si>
    <t>Diplomado en Cirugía de animales de compañía</t>
  </si>
  <si>
    <t>Diplomado En Medicina Felina</t>
  </si>
  <si>
    <t xml:space="preserve">  Salud y Ciencias Sociales  —  60 respuestas  |  NPS: 55%</t>
  </si>
  <si>
    <t>Diplomado en Psicología Educacional"Intervención Integral y Sistémico en las Necesidades Educativas</t>
  </si>
  <si>
    <t>Diplomado De Kinesiología Respiratoria Para Atención Primaria En Salud - CONCEPCIÓN</t>
  </si>
  <si>
    <t>Diplomado en Diversidades en Educación Superior: Enfoque Integral en Neurocognición, Género, Cultura y Salud Mental</t>
  </si>
  <si>
    <t>Diplomado De Kinesiología Respiratoria Para Atención Primaria En Salud- PROVIDENCIA</t>
  </si>
  <si>
    <t>Diplomado Prescripción de Ejercicios de Fuerza y Musculación para la Actividad Física</t>
  </si>
  <si>
    <t>Diplomado en Docencia En Simulación Clínica</t>
  </si>
  <si>
    <t>Diplomado En Infecciones Asociadas A La Atención En Salud</t>
  </si>
  <si>
    <t>Diplomado Intervención Psicosocial a víctimas y testigos en el sistema de Justicia Penal</t>
  </si>
  <si>
    <t>Comentarios de Estudiantes – Educación Continua  |  Período 2025-10</t>
  </si>
  <si>
    <t>Universidad de Las Américas  |  Positivo=6-7  |  Neutro=5  |  Negativo=1-4  |  Negativos primero por programa</t>
  </si>
  <si>
    <t>Puntaje</t>
  </si>
  <si>
    <t>Clasificación</t>
  </si>
  <si>
    <t>Comentario</t>
  </si>
  <si>
    <t>(+) Positivo</t>
  </si>
  <si>
    <t>Todo excelente!!!</t>
  </si>
  <si>
    <t>(~) Neutro</t>
  </si>
  <si>
    <t>Falta acompañamiento en el proceso administrativo y para aprender a conocer el portal. Sobre los docentes. en general muy buenos, con algunas excepciones.</t>
  </si>
  <si>
    <t>Este diplomado ofrece una excelente te base teórica ybpractica con algunos docentes ,sin embargo sería muy valioso integrar más actividades interactivas y simulaciones prácticas que permita aplicar los conocimientos además fortalecer la parte de seguimiento personalizado para cada participante.</t>
  </si>
  <si>
    <t>To</t>
  </si>
  <si>
    <t>Muy conforme con los profesores y el contenido entregado.</t>
  </si>
  <si>
    <t>Me encanto haber sido parte del diplomado, excelentes docentes... Aprendí mucho.</t>
  </si>
  <si>
    <t>Bueno</t>
  </si>
  <si>
    <t>muy satisfecho y sorprendido</t>
  </si>
  <si>
    <t>.</t>
  </si>
  <si>
    <t>Buena experiencia de perfeccionamiento</t>
  </si>
  <si>
    <t>Excelente calidad docente y de contenido.  Sugiero un diplomado en convivencia escolar: mediacion y resolución de conflictos.</t>
  </si>
  <si>
    <t>Considero que hay algunas prácticas metodológicas que deben revisarse como algunas rúbricas de evaluación o didáctica de la clase en sí. Hay algunos docentes que leen el ppt y/o no entregan una claridad en los contenidos.</t>
  </si>
  <si>
    <t>Deberían agregar otra pregunta, ¿habías navegado antes en el blackboard?, si lo respuesta es no, ¿qué tan fácil o difícil fue al inicio del diplomado?  Debería existir ese tipo de pregunta, ya que para mi fue difícil, hasta que aprendí y se me hizo muy fácil.</t>
  </si>
  <si>
    <t>Estoy muy conforme con el servicio entregado, las docentes que imparten los módulos son muy buenas y competentes.</t>
  </si>
  <si>
    <t>Excelente equipo de trabajo</t>
  </si>
  <si>
    <t>Excelente experiencia académica. Profesores cercanos y bien preparados. Me siento preparada para enfrentar nuevos desafíos laborales. Gracias</t>
  </si>
  <si>
    <t>Excelentes profesores... pero esperaba otro tipo de información.. quizás no tanto aportar el alumno y si más ejemplos y casos reales.. también la dinámica de interactuar tanto en clases a veces me complicaba .. pero en general bien..</t>
  </si>
  <si>
    <t>TODO MUY ACORDE GRACIAS</t>
  </si>
  <si>
    <t>Me encantó el Diplomado, muy recomendable.</t>
  </si>
  <si>
    <t>Buena experiencia y recomendable</t>
  </si>
  <si>
    <t>Muy satisfecho por realizar mi primer diplomado en esta prestigiosa universidad. Espero poder realizar más estudios en su universidad. Profesores, coordinardor sumamente amables y eficientes en su labor !! Saludos cordiales</t>
  </si>
  <si>
    <t>Quizas hacer algun trabajo o ejercicio con estudio de caso reales ennel contexto de protocolos y casos de convivencia escolar.</t>
  </si>
  <si>
    <t>El Diplomado de Convivencia Educativa fue una experiencia muy enriquecedora. Los contenidos fueron útiles y aplicables, promoviendo valores como respeto y empatía. La formación fue clara, participativa y me dejó herramientas prácticas para mejorar la convivencia en mi entorno escolar. ¡Muy recomendable!</t>
  </si>
  <si>
    <t>Me pareció muy bueno, ya que cumplió con todas las expectativas y fue una experiencia realmente enriquecedora, los contenidos estuvieron claros, actualizados y muy útiles para aplicar en la práctica educativa. Además, la metodología utilizada hizo que todo fuera fácil de comprender y permitió la participación de todos y todos los compañeros. En general, estuvo todo muy bien organizado y conforme, lo que hizo que el aprendizaje fuera significativo y aplicable al trabajo diario en mi actual trabajo.</t>
  </si>
  <si>
    <t>la plataforma de acceso es facil de utilizar dispone de distintos recursos que ayudan al aprendizaje</t>
  </si>
  <si>
    <t>Gracias Totales</t>
  </si>
  <si>
    <t>Muy contento y satisfecho con los contenidos aprendidos, buenos docentes</t>
  </si>
  <si>
    <t>La verdad que para ser mi primer diplomado, quede muy conforme con los profesores y el gran equipo que tiene la universidad.</t>
  </si>
  <si>
    <t>Muy buenos profesores¡¡¡ Muchas gracias por lo entregado!!!!</t>
  </si>
  <si>
    <t>Muy buena organización y gestión por parte del equipo de UDLA. Excelente diplomado y docentes!!</t>
  </si>
  <si>
    <t>Me hubiese gustado que el ultimo módulo estuviese más enfocado a crear experiencias de aprendizajes aplicables al aula.</t>
  </si>
  <si>
    <t>Muchas gracias a los docentes y a la coordinadora Fernanda por el apoyo en este proceso. Espero en 2026 seguir aprendiendo junto a ustedes.</t>
  </si>
  <si>
    <t>La calidad profesional de los docentes es excelente y aprendí mucho de ellos.</t>
  </si>
  <si>
    <t>Muy buena organización institucional, actualizada y con excelentes docentes.</t>
  </si>
  <si>
    <t>Interesante diplomado, aprendí mucho, en especial con el profesor Hugo.</t>
  </si>
  <si>
    <t>Resolvieron mis dudas oportunamente, los medios digitales son amigables.</t>
  </si>
  <si>
    <t>Excelente diplomado, muy buenos profesores y coordinador muy preocupado de sus estudiantes, agradecida totalmente de lo aprendido</t>
  </si>
  <si>
    <t>Excelente Diplomado</t>
  </si>
  <si>
    <t>Debiesen considerar que para nosotros en un diplomado el aula no cambia el semestre, por lo que nos pasó que cuando estábamos en agosto nos salía el aula en segundo semestre por lo que no aparecían nuestros cursos.Tuvimos que ir a la parte superior y cambiarlo manualmente</t>
  </si>
  <si>
    <t>Solo mejorar donde suben las grabaciones , ya que no es tan accesible debido a que no es visible.</t>
  </si>
  <si>
    <t>Un excelente diplomado, muy necesario para complementar nuestros conocimientos ya adquiridos. Docentes de alta calidad y gracias a ellos seremos un gran aporte a la sociedad influyendo en una sociedad más inclusiva.</t>
  </si>
  <si>
    <t>Por lo general, fueron excelentes profesoras quienes impartieron las asignaturas, debo destacar a profesora Jeimy y Rocío. Uno de los puntos a mejorar es que cada docente tenga claro los horarios de cada módulo, por ejemplo, profesoras comenzaban a las 09:00 y otras a las 08:30 horas los días sábados; es mejor que todo sea unificado así como los horarios de break. La plataforma a veces presentaba fallas, pero era amigable para poder descargar los materiales de apoyo.</t>
  </si>
  <si>
    <t>Agradecida de cada profesora que tuvimos excepto del último ramo, ojalá cambien esa visión y que la docente sea diferente</t>
  </si>
  <si>
    <t>(–) Negativo</t>
  </si>
  <si>
    <t>El diplomado tiene un sistema de pregrado, mucho trabajo grupal y pocos momentos de reflexión.</t>
  </si>
  <si>
    <t>Estoy muy satisfecha con el diplomado . Me motivó a seguir perfeccionandome</t>
  </si>
  <si>
    <t>Excelente académicos</t>
  </si>
  <si>
    <t>Agradezco la oportunidad de conocer a profesoras que siempre nos motivaron a seguir perfeccionándonos  Y se transmitía su vocación por enseñar</t>
  </si>
  <si>
    <t>Realizar este diplomado fue muy positivo para mi formación profesional. Estoy muy agradecida de las profesoras María Teresa, Pamela y Wilda. Excelentes profesionales, ordenadas, cercanas y amables.</t>
  </si>
  <si>
    <t>Revisar que se lleven a cabo planificaciones en cada clase y que se suba material en los tiempos correspondiente</t>
  </si>
  <si>
    <t>Creo que el diplomado está pensado más en profesionales que no tienen formación en Educación física y sus ramas. En lo personal, esperaba ver más contenidos de aplicación, baterías para evaluar , entre otras cosas.</t>
  </si>
  <si>
    <t>Todo bien</t>
  </si>
  <si>
    <t>Algunos docentes no dan respuesta hasta la fecha.</t>
  </si>
  <si>
    <t>Excelente experiencia! Muchas gracias!</t>
  </si>
  <si>
    <t>muchas gracias por la oportunidad, muy productiva y enriquecedora</t>
  </si>
  <si>
    <t>Mis sugerencias son las siguientes:  El material de todo el Diplomado debe encontrarse desde el inicio del diplomado, no subirse a medida que se avanza, debido a que no se encontraba disponible en algunas ocasiones y se debió solicitar a la coordinación. Esto da una imagen de desorden y falta de seriedad.    Además, sugiero reducir a uno el número de trabajos grupales a presentar en cada unidad, debido a que se debe dedicar más tiempo del considerado y disponible para su realización. considerando que hay que revisar el material de cada semana, responder un test y un debate en forma   asincrónica.</t>
  </si>
  <si>
    <t>Los documentos como programa del módulo y otros no correspondían. En su lugar había de programas diferentes o módulos anteriores. El foro para consultas raramente se respondía. Algunos profesores no registraban la asistencia ni las notas. Los enlaces a las clases sincrónicas no funcionaban en Blackboard, los profesores tenían que enviarlos por whatsapp. Las grabaciones de estas clases no siempre estuvieron disponibles. La información entregada era confusa respecto de las clases sincrónicas y asincrónicas, así como los horarios. Administrativamente, fue una mala experiencia. En cuanto a los contenidos y actividades, me pareció bien. El grupo de compañeros de curso tampoco fue agradable, la mayoría, profesores de la misma universidad (UDLA) eran muy soberbios, aunque tenían poco dominio del ámbito educacional. En el módulo de evaluación fueron despectivos y agresivos con el profesor, cuando este profesional fue el mejor de todos.</t>
  </si>
  <si>
    <t>La mayor deficiencia es la modalidad de un solo día presencial en virtud de ser un diploma on - line, esto no potencia el proceso de aprendizaje para estudiantes como nosotros que estudiamos y trabajamos, podría haber sido de mayor profundidad y calidad si ambos días hubiesen aportado al proceso socioeducativo.</t>
  </si>
  <si>
    <t>Destacar especialmente a las Académicas, Beatriz y a Paola Espejo; estimo que ambas destacaron en el grupo de Relatores que tuvimos, integralmente; además, ellas subían el material paralelamente a sus ponencias lo que sin duda ayuda a asimilar y reforzar las exposiciones en forma eficiente.</t>
  </si>
  <si>
    <t>Este fue mi primer diplomado, y ha sido una experiencia llena de aprendizaje y buenas experiencias en un tema que era bastante desconocido en la parte práctica para mi. Muchos días fueron difíciles, pero el obhetivo se logró y estoy muy conforme. La organización de una clase asincrónica y la otra sincrónica me pareció apropiada. No me sentí cómodo con la coevaluación de los pares ya que me bajó la nota por detalles que no eran apropiados. Ejemplo, anoche tuvimos una presentación final del módulo 5, que debía durar entre 3-5 minutos, y así lo hicimos. Pero como presentamos después de un grupo que habló por 15 minutos, alguien nos evaluó como "breve" en la coevaluación. Lo mismo ocurrió en el módulo 2. Lo demás, estuvo genial. Gracias!</t>
  </si>
  <si>
    <t>Buen diplomado y excelentes profesores. Sin embargo, pienso que los módulos se enfocan demasiados en la evaluación, que se comprende, pero eso resta espacio para el aprendizaje. Debiese haber solo una evaluación final donde se pueda demostrar lo aprendido en todo el módulo y en formato práctico. Así también, tomar en consideración los quiz de cada semana y ser un porcentaje de la evaluación final.</t>
  </si>
  <si>
    <t>En general, todos los módulos fueron de utilidad para lograr los RRAA. El único módulo que no cumplió las espectativas fue el de Evaluación pues el profesor no demostró interés en realizar el curso y los cambios que realizó no fueron de utilidad, solo complicaron la realización del módulo. Reconocimiento especial a la profesora Paola Espejo, quien demostró una integración de herramientas y destacó por su  claridad.</t>
  </si>
  <si>
    <t>Excelentes profesores. Muy buen diplomado. Lo recomiendo al 100%.</t>
  </si>
  <si>
    <t>Excelente programa de especialización</t>
  </si>
  <si>
    <t>Agradecer a cada docente por su preparación y conocimientos.</t>
  </si>
  <si>
    <t>Fue una gran experiencia, cumplió con todas mis expectativas, los profesores muy capacitados y accesibles a las consultas.</t>
  </si>
  <si>
    <t>Muy buen Diplomado</t>
  </si>
  <si>
    <t>Los docentes que usaban bien blackboard fueron un gran aporte por el material extra subido, la claridad de las reuniones y sus ppt. Sería bueno que todos los docentes le dieran uso.</t>
  </si>
  <si>
    <t>La iniciativa de preparar a sus propios profesores me parece excelente.</t>
  </si>
  <si>
    <t>Considero que las evaluaciones no tuvieron retroalimentaciones pertinentes, el acceso a la plataforma no me dejo conforme, si bien la gran mayoría de los docentes eran buenos, creo que la forma de evaluar no era adecuada y menos la retroalimentacion dada</t>
  </si>
  <si>
    <t>Terminados los módulos, estos eran cerrados automáticamente, sin acceso a grabaciones, ppts, literatura, etc. aún no habiendo terminado los procesos evaluativos de los módulos cerrados.</t>
  </si>
  <si>
    <t>Mejoraría es el tiempo de respuesta de las nota y la retroalimentación no de todos de algunos de los docentes, unos muy cumplidos e</t>
  </si>
  <si>
    <t>Hola: desconozco porqué el profesor Rodrigo Vargas no subió los videos de las clases al Blackboard y solo los enviaba a nuestros emails, porque no había forma de descargarlos, tuve que usar una aplicación externa para poder grabarlas, más de un mes, esas grabaciones se borraron, en cuanto a sus clases, fueron muy buenas.</t>
  </si>
  <si>
    <t>Excelentes profesores! muy conforme con el contenido y forma de enseñar de ellos. Muchas gracias!</t>
  </si>
  <si>
    <t>Excelente diplomado, el compromiso de los docentes se agradece.</t>
  </si>
  <si>
    <t>podría ser mas rápido el tema del titulo y la ceremonia</t>
  </si>
  <si>
    <t>Excelente programa cumplió todas mis expectativas. Excelentes profesores.</t>
  </si>
  <si>
    <t>Es diplomado de Ciber, me sorprendió de muy grata manera, los profesores totalmente capacitados, compartiendo sus conocimientos en cada clase y respondiendo frente a cualquier duda. El coordinador un 7, me apoyó cuando tuve temas laborales fuera de Chile, que me impidieron avanzar en ramos, permitiendo avanzar y continuar con el diplomado. Muchas gracias y los recomendaré con mis colegas y cercanos.</t>
  </si>
  <si>
    <t>Sigan mejorando la plataforma, tanto Como para los alumnos como los profesores</t>
  </si>
  <si>
    <t>Encuentro que fue un muy buen diplomado el cual me ha entregado herramientas necesarias para ejecutar mis actividades laborales.</t>
  </si>
  <si>
    <t>Los profesores y encargada excelentes ,</t>
  </si>
  <si>
    <t>Muy buena experiencia</t>
  </si>
  <si>
    <t>SUGIERO MANTENER HORARIOS DE CLASES DURANTE TODO MEL DIPLOMADO CONSIDERANDO QUE SOMOS ALUMNOS CON HORARIOS LABORALES Y EL AJUSTE NO ES TAN FLEXIBLE ANTE LOS CAMBIOS , NOS PASÓ CON LA ULTIMA ASIGNATURA, ADEMAS CONSIDERAR BIEN EL TIEMPO DE DURACIÓN DE CADA MODULO PARA SU ADECUADO DESARROLLO Y APRENDIZAJE, EL ULTIMO MODULO ERA EL MÁS INTENSO EN CONTENIDO PERO FUE  MUY ACOTADO EL TIEMPO, DEBE SER BIEN PORGRAMAMDO DESDE EL INICIO DEL DIPLOMADO PARA UNA ADECUADA PARTICIPACIÓN Y PROVECHO.</t>
  </si>
  <si>
    <t>resulta interesante clases teorico-practicas</t>
  </si>
  <si>
    <t>Se trataron varios temas interesantes sobre el turismo de intereses especiales, el material de apoyo fue super completo  y los profesores, la mayoría si dominaban bien el contenido del ramo a cargo. Hubo Ramos que  no se desarrollaron de la mejor manera.  Experiencias turísticas al aire libre, donde se comenzó hablando de la  hablando de la evolución de las especies y la evaluación termino siendo sobre la emocionalidad, no hubo ninguna coherencia en el desarrollo de esta asignatura.  La asignatura que dejo mucho que desear fue Experiencias turísticas estratégicas. Donde en una clase la profesora destaco que deberíamos desarrollar mas habilidades como la comunicación efectiva, empatía o poder de negociación mas que las habilidades técnicas. Esto es algo que se debiera dedicar un curso. En estas clases también se debieron enseñar como se preparan proyectos CORFO o para algún fondo concursable, como se llenan los documentos, como desarrollar un PTI , de los cuales se hablo hasta el cansancio, pero no se enseño como hacer estos proyectos. La profesora, con sus propias palabras dijo que la materia se paso super rápido y así fue. Pudimos haber profundizado mucho mas, aprovechar mejor las clases y el tiempo, el ramo era super interesante y se pudo haber sacado más provecho, pero que ocurrió, la profesora priorizo sus actividades fuera del diplomado y aplazo la primera clase y la última no fue. con esto la evaluación del ramo,que era un VIDEO, que no tenia ninguna relación con los contenidos, fijo mas la atención en la edición de esto que en las clases que, en terminaban antes porque la profesora nos "daba tiempo de hacer el video". Esta evaluación era para otro ramo. En estas clases pudimos haber desarrollado un mejor proyecto mas relacionado con los contenidos. Fueron las clases que mas se pudo haber aprovechado, pero no fue así. La Pésima ejecución de estas es lo que me llevaría a no tomar otro post grado con UDLA y con la profesora a cargo. Con certeza el último ramo del diplomado, Diseño de proyectos turísticos , fue lo mejor. El profesor a cargo, Gustavo Salinas, Hizo un excelente trabajo. Demostró un dominio a cabalidad del tema y la entrega de la información fue intensa pero bien recibida.  La entrega de contenidos fue completa aunque falto tiempo para desarrollar mejor este ramo. Seria buena idea hacer un diplomado solo de este único ramo. Hubo evaluaciones simples, se debería exigir un poco mas y sobre todo que las evaluaciones sean basadas en casos prácticos, útiles y reales. La tardía respuesta a los correos a través de la plataforma también debiera  mejorar. No solo por parte de la coordinadora sino también por los profesores.</t>
  </si>
  <si>
    <t>Fue mi primera vez en un Diplomado y en clases online. Fue una experiencia enriquecedora que me gustó mucho y gracias a eso estoy cursando otro diplomado en UDLA nuevamente. La calidad de los profesores es impecable, y el contenido breve y consiso. El tiempo de duración fue exacto. En cuanto a la coordinadora nada que decir, siempre atenta a los problemas con la plataforma a las respuestas rápidas y ayudar en cualquier duda, sin importar el horario. Gracias a todos el equipo, estoy muy feliz.</t>
  </si>
  <si>
    <t>Fue una muy buena experiencia</t>
  </si>
  <si>
    <t>Son problemas del sistema principalmente</t>
  </si>
  <si>
    <t>Me sorprendieron las asignaturas y el conocimiento entregado. La descripción del programa quizas no asimila la cantidad de aprendizajes obtenidos. Estoy muy conforme con el diplomado y con UDLA así que me inscribí nuevamente a uno que parte ahora en septiembre. Saludos a todo el equipo docente y coordinadora. Exelentes profesionales.</t>
  </si>
  <si>
    <t>los horarios fue  algo difícil lidiar, ya que hace que  la semana sea agotadora y difícil de coordinar por las actividades laborales y del hogar. Sólo  sugiero que quizás puede ser una buena fecha viernes por la tarde y sabado por la  mañana.  agradecida por la disposición de la universidad,  los compañeros y la coordinación.</t>
  </si>
  <si>
    <t>Agradecida de todos los docentes que estuvieron entregando sus contenidos y sus valiosas experiencias, lo cual me permite potenciar mis habilidades con mayor confianza, muchas gracias y bendiciones para todos</t>
  </si>
  <si>
    <t>Falto más horas para el ramo de gestión y planificación tributaria</t>
  </si>
  <si>
    <t>Coordinacion excelente, plataforma muy buena, .</t>
  </si>
  <si>
    <t>En relación al diplomado esperaba mucho más, ya que el diplomado tiene de nombre "Gestión y planificación tributaria" por lo que uno espera que el principal enfoque sea la planificación mas que el cumplimiento tributario. La manera en que se abordan los contenidos son muy similar al pregrado. Solo la asignatura de rentas personales tuvo un enfoque mas al propuesto en el titulo del diplomado, el resto fue mas de lo mismo que mucho ya vimos en el pregrado y en mundo laboral.  Por último, el modulo de planificación tributaria fue muy mal abordado, no se logro un entendimiento del tema y eso se vio reflejado en la evaluación que realizamos con el profesor.</t>
  </si>
  <si>
    <t>Excelente todos los profesores</t>
  </si>
  <si>
    <t>Muchas gracias</t>
  </si>
  <si>
    <t>Paula muy atenta muy amable se agradece su paciencia y muy profesional en su gestion.</t>
  </si>
  <si>
    <t>Excelente universidad</t>
  </si>
  <si>
    <t>Excelente diplomado, pretendo estar en algún otro más adelante. Felicidades también a Paula.</t>
  </si>
  <si>
    <t>Excelentes profesores, Muchas  Gracias!</t>
  </si>
  <si>
    <t>Excelente programa</t>
  </si>
  <si>
    <t>excelente diplomado</t>
  </si>
  <si>
    <t>Excelentes diplomados sobre todo el contenido y enseñanza entregado a través de los docentes..</t>
  </si>
  <si>
    <t>Excelente programa! Y los profes, mejor aún</t>
  </si>
  <si>
    <t>Si bien me gusto el diplomado porque veía muchos temas era muy interesante y los docentes de gran calidad. Ahora me gustaría profundizar en algún diplomado de rentas</t>
  </si>
  <si>
    <t>OK</t>
  </si>
  <si>
    <t>Excelente diplomado, profesores de primer nivel. Sin duda un tremendo aporte a mi formación profesional.</t>
  </si>
  <si>
    <t>Excelente programa y excelentes profesores</t>
  </si>
  <si>
    <t>Aprovechando la instantancia, quisiera expresar mi más sincero agradecimiento por la calidad de la enseñanza que recibí. Cada uno de ustedes aportó de manera significativa a mi aprendizaje, y a pesar del corto tiempo, el diplomado fue fundamental para mí. Me abrió un nuevo abanico de posibilidades laborales y me proporcionó las herramientas necesarias para trabajar con bases de datos e incluso para concebir nuevas soluciones y productos que pueden resolver problemas en mi campo profesional.    Sin embargo, me gustaría compartir una observación importante. La elección del profesional para evaluar nuestros proyectos finales fue, para mí, una sorpresa negativa. La persona que invitaron es una figura pública conocida en televisión, bastante juicioso en sus opiniones en pantalla a mi parecer, lo que me generó un prejuicio personal que dificultó mi desempeño en la exposición.    Sin desconocer sus credenciales profesionales,  sus juicios me parecieron demasiado bruscos, poco empáticos, y poco acertivos (en medio de mi exposición, dudó de mi investigación y me envió un link que poco tenía que ver con lo que yo expuse) lo que hizo que la experiencia fuera bastante desagradable.    Entiendo que mi proyecto tuvo bastantes falencias, ya que prioricé la innovación en lugar de seguir un enfoque más convencional y propositivo. Asumo la responsabilidad por ello y sé que mi calificación se verá afectada. No obstante, esto no minimiza el impacto negativo que causó el profesor en la evaluación final (por ejemplo, cuando dió mensaje de bajar 1 punto por no prender la cámara).    Espero que para futuras ocasiones se pueda invitar a alguien más neutral, cuya presencia no genere ningún tipo de prejuicio previo en los estudiantes. A pesar de esta última experiencia, reitero que el diplomado en general fue muy valioso y formativo para mí. Ha ampliado mi visión y me ha dado un conocimiento que sin duda me ayudará a conseguir nuevas oportunidades laborales. El saldo final es muy positivo, y estoy muy agradecido por todo el aprendizaje.</t>
  </si>
  <si>
    <t>Muy buen diplomado, corto pero de gran aporte</t>
  </si>
  <si>
    <t>Excelente diplomado muy satisfecho de todo</t>
  </si>
  <si>
    <t>Excelente en diplomado podría considerar un módulo adicional</t>
  </si>
  <si>
    <t>Fue un buen curso, plataforma fácil de usar, profesores con disponibilidad de resolver cualquier inquietud</t>
  </si>
  <si>
    <t>El sistema de pagos deja mucho que desear, se demoraron muchos meses en aceptar la facturación que según estaba listo en febrero, y hacen cobros indebidos de PAC</t>
  </si>
  <si>
    <t>Falta mayor organización en la planificación temática cuando falta un docente clave</t>
  </si>
  <si>
    <t>Felicitaciones, son una gran casa de estudios.</t>
  </si>
  <si>
    <t>ninguno</t>
  </si>
  <si>
    <t>Todo muy bien. Excelente!</t>
  </si>
  <si>
    <t>Excelente programa y profesores</t>
  </si>
  <si>
    <t>buena experiencia con los profesores</t>
  </si>
  <si>
    <t>Todo fue bueno y sin ninguna duda</t>
  </si>
  <si>
    <t>EXCELENTE UNIVERSIDAD, MUY  BUENA EXPERIENCIA</t>
  </si>
  <si>
    <t>En general la experiencia fue buena, pero hubo casi nula respuesta de uno de los docentes en el retraso de las notas</t>
  </si>
  <si>
    <t>importate que los docentes puedan ingresar la información en ambos portales para nuestra revisión.   Y agradecer toda la disposición de nuestra coordinadora y docentes para responder todas nuestras consultas</t>
  </si>
  <si>
    <t>gracias a los docentes y jefe de carrera coordinadora de la carrera</t>
  </si>
  <si>
    <t>Los docentes deberían mantener un reglamento dónde se les obligue a cumplir con los plazos para estampar las calificaciones</t>
  </si>
  <si>
    <t>Optimizar horas de clase, considero que deberia ser máximo 15 horas por ramo, con 5 clases de 3 horas. Habian ramos en que había mucho relleno para llegar a las 18 horas.</t>
  </si>
  <si>
    <t>Profesores pocos preparados , sobre todo en ramos data minning y machine y el otro ramo desarrollo de chatbots y asis.</t>
  </si>
  <si>
    <t>Los primeros cursos de este diplomado considero que son relleno, sin embargo, los  3 últimos aportaron en algo a lo que andaba buscando en este curso.</t>
  </si>
  <si>
    <t>algunas veces no se podia entrar al las clases por zoom, problemas con el codigo,,etc</t>
  </si>
  <si>
    <t>Nada</t>
  </si>
  <si>
    <t>Estoy conforme y agradecido</t>
  </si>
  <si>
    <t>excelente diplomado y los profesores muy buenos</t>
  </si>
  <si>
    <t>Muy buenos profesores</t>
  </si>
  <si>
    <t>Me gusto el diplomado, la interacción con los docentes y los colegas, dentro de lo que solicito mejorar es que los docentes puedan cargar oportunamente la información de las notas y materias a la plataforma.  Ahora bien también tarea aparte pra el departamento de informatica que la plataforma sea más estable, gracias</t>
  </si>
  <si>
    <t>Lamento expresar mi decepción con respecto al diplomado. Por motivos de señal y horarios no pude cumplir como hubiera querido, pero encontré muy poca flexibilidad en el proceso. Además, no recibí comunicación ni apoyo por parte de Vanessa respecto a mi inasistencia y a mis notas.    Considerando el monto que se cobra por este diplomado, uno espera una formación de calidad y un acompañamiento adecuado durante el proceso, lo cual en mi caso no se cumplió.    Espero que puedan tomar en cuenta esta experiencia para mejorar en el futuro, ya que en esta oportunidad me llevé una mala impresión.    Saludos cordiales.</t>
  </si>
  <si>
    <t>Sin Comentarios</t>
  </si>
  <si>
    <t>lentitud en subir notas, y lentitus en los certificados de titulos.ya llevom 2 meses esperando los certificados de la casa certificadora y aun no llegan</t>
  </si>
  <si>
    <t>Agradezco a los Docentes Dafne Rojas y Santiago Filgueira, quienes con su vocación y forma de enseñar me ayudaron a crecer profesionalmente. Cumpliendo las expectativas que tenia del diplomado.</t>
  </si>
  <si>
    <t>Considero que la gestión del diplomado es pésima voy a pagar más de un millón de pesos por nada cero empatia con el estudiante la coordinadora no da una solución solo que debo pagar no me dejaron tomar de nuevo el diplomado ni pagar los meses que solo tome clases ni recuperar clases un robo veré acciones legales</t>
  </si>
  <si>
    <t>El ramo de Congresos y ferias no me dejó conforme en la modalidad que tuvo el profesor y el nivel no fue el esperado. tambien creo que en generarl al diplomado le faltó mayor enfoque a eventos corporativos propiamente tal, por ejemplo el ramo PRODUCCION DE EVENTOS EMPRESA perdía ese foco y la profesora abordaba otro tipos de eventos masivos, de espectaculo, conciertos, TV, etc. que no eran el objetivo central del diplomado en sí. Sin duda el ramo de IA fue el que más nos aportó herramientas practicas pero creo que no se le dio el espacio necesario para abordarlo con mas detalle.</t>
  </si>
  <si>
    <t>Son un grupo de profesores en su mayoría muy conocedores de sus ramos aportan con experiencia, fundamentos, ejemplos y proceso para lograrlo.</t>
  </si>
  <si>
    <t>Muy buen diplomado, s{olo uno de los cuatro cursos fue decepcionante.</t>
  </si>
  <si>
    <t>excelente diplomado los profesores de una gran calidad</t>
  </si>
  <si>
    <t>Creo que quizás es recomendable replantear el diplomado, pues escuché malos comentarios entre los colegas, que esperaban otra cosa. Para mi fue una muy buena experiencia</t>
  </si>
  <si>
    <t>Excelentes profesores y contenidos de diplomado, además del las salidas extraordinarias</t>
  </si>
  <si>
    <t>Exelente todo</t>
  </si>
  <si>
    <t>Todo bien y agradable en general, muy buena experiencia, es mi primer diplomado. Solo indicar que sería bueno que las evaluaciones de los módulos se hicieran antes de iniciar el siguiente. Considerando la última clase de cada módulo como repaso general en 1 hora y el tiempo restante para la evaluación del módulo. Como idea podrían generarse instancias de intervención de representantes de laboratorios que producen o vende productos de control de plagas a modo de familiarizarse con estos y adquirir otros aprendizajes, como así también empresas que son comercializadoras de productos e insumos del rubro. Del mismo modo presentar empresas del rubro y que muestren como operan a grandes rasgos los servicios que ofrecen, etc. Y por qué no también agregar un pequeño modulo que tome el aspecto económico de esta labor, a modo de poder establecer más menos los costos operacionales de una empresa de control de plagas. Etc. Sugiero indicar lo de la ceremonia a un inicio del diplomado, pus todos pensábamos que no harían nada significativo al respecto y la noticia nos alegró bastante. Muchas gracias. Saludos. Raúl Martínez.</t>
  </si>
  <si>
    <t>Satisfecho con el programa.</t>
  </si>
  <si>
    <t>LA CALIDAD DE LOS DOCENTES FUE MUY DISPAR, ALGUNOS COMO LOS DE LOS MODULOS DE ANESTESIA, DERMATOLOGIA, NEUROLOGIA Y RESPIRATORIO FUERON PROFESIONALES IMPECABLES, CON METODOLOGIA CONTUNDENTE Y SE NOTABA SU DOMINIO DEL TEMA, SIN EMBARGO LOS DEMAS, PUEDEN SER MUY BUENOS PROFESIONALES, ESO NO LO PONGO EN TELA DE JUICIO, PERO DE METODOLOGIA DE ENSEÑANZA DEJARON MUCHO DE DESEAR. ESPERO PUEDAN CONCIDERAR ESTO PARA PROXIMOS PROGRAMAS.</t>
  </si>
  <si>
    <t>Pésima experiencia, el diplomado no presenta variedad ni actualización en las áreas que imparte, la mayor parte de los "docentes" no entraga respuestas claras respecto a los contenidos que imparten, las presentaciones ppt eran de baja calidad y muy similares a algo que haría un niño en el colegio. El seminario final fue evaluado por una profesional con especialidad en felinos, cuando el diplomado cursado era de CANINOS, especie totalmente contraria a la que estaba dirigido el programa. Se entregaban informaciones vía aula que luego tenían que estar corrigiendo ya que era errónea, las clases programadas a durar 4 horas en ocasiones duraban 2 o menos debido a que los "docentes" se quedaban sin información o simplemente se notaba en sus voces que no les interesaba lo que estaban impartiendo ya que no era si especialidad (ejemplo claro con la clases de "geriatria"). Considero que para lo que uno paga por el diplomado se espera una calidad un poco mejor y no se entrego ni el 50% de lo que promocionan a nivel de redes y cuando uno se matricula, no se lo recomendaría realmente a nadie.</t>
  </si>
  <si>
    <t>Aprendan a distribuir bien las horas para que dejen de decir todos los docentes q tienen poco tiempo y mucha materia por pasar</t>
  </si>
  <si>
    <t>Debo destacar a mi juicio el notable desempeño de  algunos profesionales , quienes marcaron para mi la manera de hacer docencia en el área de Medicina de pequeños animales ,siendo ellas las Doctoras : Rocío Gomez y Daniela Rosell, cada una en su respectivo modulo.</t>
  </si>
  <si>
    <t>Mas retroalimentación y/o avisos de requisitos de aprobación y del curso a alumnos que estan peligrando por asistencia o notas.</t>
  </si>
  <si>
    <t>Muy buen diplomado</t>
  </si>
  <si>
    <t>Agradecer los diplomados que están constantemente ofreciéndonos para mejorar en nuestra profesión</t>
  </si>
  <si>
    <t>Me encantó haber participado en un diplomado en la UDLA muy buena organización excelente docentes 100% recomendable y claramente volvería a tomar otro diplomado con ustedes, la docente de toxicología maravillosa</t>
  </si>
  <si>
    <t>Muy conforme con el Diplomado.</t>
  </si>
  <si>
    <t>Mejorar calidad en algunos de los docentes no todos entregaban las herramientas adecuadas a nivel de un diplomado</t>
  </si>
  <si>
    <t>me gusto la experiencia, aunque una de las Heras que fue cardiologías fue pésimamente impartida</t>
  </si>
  <si>
    <t>LOS PROFESORES RODRIGO GALVEZ Y PATRICIO OYARZE MUY BUENOS DOCENTES PARA EXPLICAR LOS CONTENIDOS Y COMO APLICAR LOS CONTENIDOS. EL PROFESOR IGNACIO FUENTES QUE IMPARTIO EL MODULO MAS IMPORTANTE QUE ES EL DE DISEÑO DE RIEGO NO SE LE ENTENDIA, POCA FLUIDES DE LOS CONTENIDOS, POCA CLARIDAD AL ENSEÑAR COMO REALIZAR UN DISEÑO, NO MANEJABA CORRECTAMENTE LOS QUE ESTABA ENSEÑADO Y SE REFLEJABA EN EL MOMENTO QUE SE LE PREGUNTABA ERAN COMPAÑEROS QUE ERAN LOS QUE SOLUCIONABAN LAS DUDAS. EN BASE A ESO LA CLASE NO FUE CLARA. Y POCO Y NADA SE PUDO APRENDER DEL MODULO YA QUE SI REVISAS LAS CLASES NO SE LE ENTIENDE LO QUE ESTA ENSEÑANDO. LO UNICO QUE SE AGRADECE QUE CUANDO REALIZO EL EXAMEN ESTUVO ATENTO AYUDAR A SOLUCIONAR LO QUE NO QUEDO CLARO QUE FUE HARTO. EL PROFESOR DE MANTENCION IGUAL BIEN AL REALIZAR LAS CLASES PERO SOLO HIZO ESO Y MANDO UN EXAMEN QUE QUEDO POCO CLARO, ADEMAS DE QUE COSTO MUCHO PODER COMUNICARSE CON EL. ENTONCES SERIA IDEAL QUE SI REALIZARAN UN EXAMEN CON HARTOS ITEM A DESARROLLAR, SERIA BUENO QUE EXPLICARA CUAL ES LA IDEA ANTES DE QUE DEJE A LA DERIVA DE COMO HACERLO. EL PROFESOR JAVIER QUE HACIA CLASES DE VEZ EN CUANDO MISMO CASO SOLO SE DEDICO A PASAR EL CONTENIDO SIN HACER UNA RETROALIMENTACION DE LO PASADO.</t>
  </si>
  <si>
    <t>En general todo super bien, pero me ubiese gustado que independientemente de ser online, mostrar imágenes de terrenos para ver el proceso de los ejercicios aplicados, llevar los aplicado a terreno para entender mas los conceptos.</t>
  </si>
  <si>
    <t>Hay que actualizar bien la página</t>
  </si>
  <si>
    <t>Excelente curso, tanto en la calidad docente como en Las plataformas</t>
  </si>
  <si>
    <t>Muchas gracias por todo</t>
  </si>
  <si>
    <t>Satisfecho</t>
  </si>
  <si>
    <t>grabar todas las clases</t>
  </si>
  <si>
    <t>Buen diplomado, agradecido por la experiencia y contenido.</t>
  </si>
  <si>
    <t>Todo excelente, me encanto el diplomado!</t>
  </si>
  <si>
    <t>muy buenos docentes,muy empaticos con uno y siempre con muy buena actitud!</t>
  </si>
  <si>
    <t>Un diplomado que me dejó una buena experiencia. Sus cursos y los aportes de sus docentes como también de mis compañeros fueron una gran experiencia para mí .Fueron una contribución y un aliciente para seguir con nuevas herramientas en mi trabajo. Sólo desearles lo mejor y que sigan adelante.  Muchas gracias!</t>
  </si>
  <si>
    <t>Se podría tener siempre disponible el material de estudio en blackboard, sin que los docentes lo pongan en privado.</t>
  </si>
  <si>
    <t>agradecida con todo lo aprendido y la calidad de profesionales que estuvo impartiendo las clases. lo único que sugeriría es que todos los profesionales que trabajen en este diplomado sepan que se debe decir "persona mayor" y no adultos mayores, ya que hacen que uno se confunda. Y con una profesional enfermera que tuvimos presencial, perdimos aproximadamente 25 minutos debatiendo que no existe la demencia senil, ya que ella insistía en que si existe sin embargo nos enseñaron durante todo el diplomado, que no existe. lo demás super agradecida con todo</t>
  </si>
  <si>
    <t>En la parte de simulación mejorar audio ,más simulación para potenciar la calidad de esta disciplina y ver errores , pero en si fue maravilloso y completo el diplomado .</t>
  </si>
  <si>
    <t>a veces no se puede ingresar a los cursos en blackboard porque están en modo de privacidad para los estudiantes,  podrían dejarlos disponibles siempre para acceder a los materiales, por otro lado, en las clases presenciales de simulación se podría mejorar el audio de la sala, ya que se escuchaban muy poco las simulaciones con los actores.</t>
  </si>
  <si>
    <t>Excelente diplomado debiese tener mas clases presenciales ya que es una mejor experiencia que enriquece</t>
  </si>
  <si>
    <t>Es mi primer diplomado y lo encontré muy completo. La única sugerencia sería no hacer trabajos en grupos para otros días porque es muy difícil colocarse de acuerdo y coincidir en los tiempos. Resultó muy bien cuando realizamos los trabajos en el momento de las clases</t>
  </si>
  <si>
    <t>Realizar los talleres presenciales de 1 o 2 profesionales ya que con más de 3 es difícil realizar una simulación como paso en el taller de polifarmacia, es muy acotado el tiempo en algunos temas importantes como este, y muy extenso los temas de EMPAM el cual es más común.  Ojala aumentar más el tiempo en los temas como nutrición y polifarmacia presencial.</t>
  </si>
  <si>
    <t>Excelente diplomado.</t>
  </si>
  <si>
    <t>Excelente experiencia. Como ex alumna UDLA me enorgullece profundamente como la universidad a mejorado sus procesos de aprendizaje</t>
  </si>
  <si>
    <t>Fue una excelente instancia de aprendizaje y oportunidad</t>
  </si>
  <si>
    <t>Excelente en todo</t>
  </si>
  <si>
    <t>A veces se caía o no dejaba que documentes subieran bien el material</t>
  </si>
  <si>
    <t>Excelente diplomado, muy recomendado. Sugeriría poder aumentar las horas presenciales</t>
  </si>
  <si>
    <t>Excelente diplomado</t>
  </si>
  <si>
    <t>Hubiese sido muy importante que se entregaran los contenidos del programa cardivoascular, como se encontraba en los contenidos dentro de lo ofrecido por el diplomado</t>
  </si>
  <si>
    <t>Recomiendo que si va ser sincrónico no sean tan extenso, por ejemplo dejar jornada de la mañana un dia y jornada de tarde otro día porque terminas perdiendo un dia completo varios meses , el tiempo de duración del diplomado super bien, solo que deberia ser más flexible en su distribución y también con la asistencia al curso, a veces uno tiene un imprevisto de último minuto ya sea laboral o familiar y la asistencia es obligatoria si no te evaluaban mal en el trabajo de grupo si no estabas presente. Quiero agradecer por otra parte el nivel de profesionales, excelentes docentes de mucho conocimiento y de expertis.</t>
  </si>
  <si>
    <t>Faltó el programa cardiovascular</t>
  </si>
  <si>
    <t>La coordinadora académica cumplió con sus responsabilidades de manera optimas.</t>
  </si>
  <si>
    <t>Excelente experiencia, me gustó bastante realizar el diplomado</t>
  </si>
  <si>
    <t>Deberían permitir trabajos individuales y asegurarse de que todos los integrantes participen, por qué muchos salen haciendo nada en los grupos y reciben certificados a gracias de sus compañeros. La mayoría de los docentes espectaculares enseñanzas a excepción de algunos que les falta trabajar el trato. Se aprenden contenidos muy buenos.  La coordinadora no siempre responde por lo general solo se comunica con la delegada.</t>
  </si>
  <si>
    <t>De ería ser más presisa, habré muchas ventanas y mucha información,</t>
  </si>
  <si>
    <t>Excelente disposición de los docentes, esperamos mayor clases en el area de adulto en Autismo fue muy corta la clase</t>
  </si>
  <si>
    <t>Agradecida de los contenidos entregados, siento que ayudará en mi quehacer profesional, podría dar una sugerencia, que al momento de las evaluaciones, cuando todos los alumnos la hayan respondido, solicitar si es posible que aparte de saber si está correcta o no la respuesta, se pueda mencionar cuál es la respuesta correcta y se pueda hacer una retroalimentación de la evaluación. Siento que eso me faltó a modo personal.</t>
  </si>
  <si>
    <t>Muy agradecida, siento que me voy muy fortalecida de los aprendizajes y el ambiente que se se creó en el curso con los docentes, al igual que con la coordinadora del diplomado.</t>
  </si>
  <si>
    <t>Todo excelente</t>
  </si>
  <si>
    <t>Muy bueno el diplomado espero hacer otro en el futuro cercano</t>
  </si>
  <si>
    <t>Agradezco mucho la oportunidad de hacer este diplomado ya que tuve un muy gata experiencias con los profesores, muy buenos todos, una admiración tremenda para ellos. Se generaron buenas instancias de discusiones y compatir experiencias nuevas, fue un agrado total poder estudiar nuevamente con estos tremendos profesores</t>
  </si>
  <si>
    <t>En general las plataformas son amigables para la utilización.</t>
  </si>
  <si>
    <t>Un gran equipo docente, excelentes maestros. la coordinadora atenta a todas mis dudas y con mucha paciencia. Mejoraría las plataformas.</t>
  </si>
  <si>
    <t>Me llama la atención que no se deje material complementario en cada curso, dejando solo los pdf de clases y actividades a realizar. No da credibilidad cuando no hay material científico que complemente lo mencionado en clases. Queda la sensación que las clases es la opinión del docente (lo que está bien) pero sin evidencia y con respaldo de cuentas de Instagram. Otro punto relevante es que se pueden anticipar parte del contenido de una clase entregando material que lo explique, sobretodo cuando es más complejo de entender. No considero suficiente con dejar oportunidad a preguntas cuando los alumnos no hemos interactuado con la IA o contenido en cuestión. De las 16 clases, son 9 prácticamente las que se entrega información y se aplica (casi la mitad). No cambiaría a los docentes, al contrario estoy agradecido de ellos, pero sí la planificación del diplomado.</t>
  </si>
  <si>
    <t>Muy buen programa</t>
  </si>
  <si>
    <t>Agradecida de la instancia, pero para futuras versiones del Diplomado ahondar más en los temas y hacer más amigable la entrega de información con personas sin experiencia en IA y por último preparar mejor las últimas presentaciones y el objetivo del módulo 4 ya que de todos fue el más débil en cuanto a presentación y contenidos</t>
  </si>
  <si>
    <t>Plataforma y coordinación excelente, profesores en general muy, sería importante que se considerara en un próxima versión del Diplomado en tratar de equiparar los conocimientos del los estudiantes, ya que no estábamos en el mismo nivel de conocimientos y muchas veces la terminología no era fácil de entender o algunos ni siquiera conocíamos las app y herramientas de IA por lo tanto quedamos un poco atrás en el avance y por lo menos a mi me pasó y se me hizo muy difícil incluso en un momento estuve a punto de retirarme del Diplomado por esta razón.</t>
  </si>
  <si>
    <t>Se entiende que este es el primer programa de diplomado IA para profesionales de salud, considero que deberían, además de la formación, darnos información de empresas, operadores y nuevos empleos de la contingencia que se generarán con este conocimiento, y así podamos desarrollar este nuevo conocimiento. Encuentro pobre la información con respecto a nuevas oportunidades laborales, podría la universidad realizar gestión de difusión con empresas tecnológicas, en cuanto a la formación de nuevos profesionales con este conocimiento, el cual será parte de todos los actuales y futuros procesos de gestión y administración en la diversas fuentes laborales.</t>
  </si>
  <si>
    <t>Este diplomado deberian tener un convenio con los hoapitales publicos de santiago de oa UDLA.</t>
  </si>
  <si>
    <t>Es necesario más evaluaciones al término de los módulos. Un módulo para la confección de informes y un módulo de ensayo de defensa oral</t>
  </si>
  <si>
    <t>Material utilizado es muy antiguo, leyes derogadas, conceptos han cambiada como mejor niñez por servicio de protección especializada, Opd ya están por desaparecer, etc.</t>
  </si>
  <si>
    <t>Los profes deben ser más ordenados con los horarios</t>
  </si>
  <si>
    <t>El diplomado faltó profundizar en el área penal y también resolver dudas en cómo desenvolverse en el mundo penal y familiar</t>
  </si>
  <si>
    <t>Solo mas responsabilidad en horarios de algunos profesores en las clases</t>
  </si>
  <si>
    <t>Mejorar la organización y canales ee comunicación, además mejorar con urgencia el detalle de las notas, las retroalimentaciones (inexistentes, solo tuvimos las de preguntas cerradas), las rúbricas (solo sucedió en el modulo 1)</t>
  </si>
  <si>
    <t>Agradecido, excelente labor</t>
  </si>
  <si>
    <t>Hola buenas tardes, lo unico que podria decir es que quizas hace falta que se trabaje con ejemplos reales, actuales dentro de nuestra realisad en salud mental en nuestro Pais.</t>
  </si>
  <si>
    <t>Inscripción automática en diplomado de Fisiopatología, mejorar laboratorios.</t>
  </si>
  <si>
    <t>Cambiaron al clautro de docentes y eso arruinó el diplomado.</t>
  </si>
  <si>
    <t>Positivo=6-7 (verde)  |  Neutro=5 (amarillo)  |  Negativo=1-4 (rojo)  |  Dentro de cada programa: negativos primero</t>
  </si>
  <si>
    <t>Comentarios de Estudiantes – Educación Continua  |  Período 2025-20</t>
  </si>
  <si>
    <t>MUCHAS GRACIAS</t>
  </si>
  <si>
    <t>Seria una mejora que en los módulos la bibliografía a descargar fuese obligatoria para tener mayores recursos, además seria muy interesante que en algunos módulos se tenga visitas a terreno.</t>
  </si>
  <si>
    <t>valoro el tiempo y dedicación de cada uno de los profesores en las diferentes asignaturas</t>
  </si>
  <si>
    <t>Considero que este programa contribuyó en gran medida a potenciar mis habilidades como traductora y me brindó conocimientos y herramientas importantes.</t>
  </si>
  <si>
    <t>nada que agregar</t>
  </si>
  <si>
    <t>Excelente diplomado y muy completo</t>
  </si>
  <si>
    <t>Deberían revisar constantemente si los profesores suben calificaciones y asistencia a tiempo.  Todo lo demás fue muy ameno. Sobretodo el trato a los alumnos fue cercano y amable</t>
  </si>
  <si>
    <t>El diplomado fue de calidad y lo recomendaría. Lo que se podría mejorar son las plataformas, sobre la información entregada a los estudiantes: notas, mensajes, etc</t>
  </si>
  <si>
    <t>Gran experiencia y queda aún margen para seguir mejorando este diplomado!</t>
  </si>
  <si>
    <t>Solamente agradecer por la calidad de la UDLA.</t>
  </si>
  <si>
    <t>Diplomado de alto nivel académico, con contenidos sólidos y actualizados. Destaco especialmente el enfoque práctico de la litigación y la argumentación jurídica, lo que permite aplicar de manera efectiva los conocimientos en el ejercicio profesional</t>
  </si>
  <si>
    <t>Contenido es maravilloso, me encantó todo lo que aprendí todos los módulos en especifico laboral y penal en cuanto a herramientas de litigación    Me gustaría seguir estudiando acá en esta universidad porque la calidad es importante.    Gracias a todos por la colaboración y compromiso a formar profesionales</t>
  </si>
  <si>
    <t>Me encantó el diplomado y sin duda lo recomendaría y volvería a realizar otra especialización  Muchas gracias</t>
  </si>
  <si>
    <t>Muy buen diplomado.</t>
  </si>
  <si>
    <t>Excelente diplomado. Solo me hubiese gustado que algunos módulos pudiesen ser más prácticos y no tan teóricos.</t>
  </si>
  <si>
    <t>Debería haber un diplomado o magister en el ámbito notarial y registral</t>
  </si>
  <si>
    <t>Seria mejor realizar evaluacion en cada modulo y que sea con retroalimentacion que contribuya al conocimiento.</t>
  </si>
  <si>
    <t>Muchas gracias por la oportunidad de haber podido realizar el Diplomado. Quedé muy satisfecho con los Profesores y con la Universidad. Me interesa el Diplomado 2.0.</t>
  </si>
  <si>
    <t>Estoy súper conforme con el diplomado, siento que me va a ayudar mucho en el ámbito laboral. Los profesores fueron muy claros en explicar sus materias y terminar con el profesor Andrés López revisando causas reales fue estupendo, cerrar el diplomado con casos prácticos y además explicados por el profesor considero que fue el cierre perfecto</t>
  </si>
  <si>
    <t>Muy satisfecho con el diplomado y con los contenidos ofrecidos por los profesores. Lo único que mejoraría es la forma de evaluar, tal vez que se realice alguna prueba o algo que objetivamente demuestre que el alumno efectivamente está entendiendo el contenido de diplomado.</t>
  </si>
  <si>
    <t>Todo estuvo perfecto, pero me gustaría que las notas fueran subidas antes, sin embargo, estuvo todo excelente, con profesores excelentes con muy buena disposición.</t>
  </si>
  <si>
    <t>Excelente</t>
  </si>
  <si>
    <t>Excelentes profesionales</t>
  </si>
  <si>
    <t>Muy bueno el diplomado, está actualizado y alineado con la PNCE.</t>
  </si>
  <si>
    <t>Excelentes docentes. Oportunidad de aprendizaje y disposición de los docentes a entregar sus conocimientos para mejorar nuestras prácticas.</t>
  </si>
  <si>
    <t>Excelentes profesores, se hizo un ambiente muy grato y gentil</t>
  </si>
  <si>
    <t>No he podido saber el resultado de las evaluaciones</t>
  </si>
  <si>
    <t>Fue una buena experiencia como primer diplomado que realizo.</t>
  </si>
  <si>
    <t>El contenido del diplomado estaba en medir medida enfocado al área de psicólogos. Muchas de las actividades prácticas y con nota eran desde el área de que hacer pedagógicamente. Por ello es que, se me hizo complejo conectar con varios apartados del diplomado. Hubiese sido más provechoso poder conectar más desde mi área</t>
  </si>
  <si>
    <t>El diplomado impartido cuenta con el contenido necesario para poder adquirir conocimientos en relación a la educación inclusiva.  Recomiendo integrar más estrategias para implementar en clases.</t>
  </si>
  <si>
    <t>Me encanto el diplomado, la modalidad de estudio y los profesores, lo unico que considero muy importante de mejorar es la plataforma poco predecible para encontrar información y para subir información, me paso ahora al germinar que vi que dos de mis foros no se subieron y afectaron mi promedio final, el resto todo super bien.</t>
  </si>
  <si>
    <t>Muy buen diplomado, profesores excelentes dispuestos a aclarar dudas y ayudar siempre que se necesite</t>
  </si>
  <si>
    <t>Excelente el diplomado, tanto en contenido como en la calidad de los docentes. Termino este diplomado con muchos aprendizajes esperando poder entrar al mundo laboral, muchas gracias ☺️</t>
  </si>
  <si>
    <t>Los felicito  por la calidad de docentes que integran la udla,un alto nivel de profesionalismo y calidad humana. Me senti muy contenta con mi desempeño  y apoyada en cada instancia. Espero volver a ser parte de esta universidad. Saludos cordiales</t>
  </si>
  <si>
    <t>Muy completas las clases y los profesores muy profesionales y completos demostrando gran calidad de enseñanza.</t>
  </si>
  <si>
    <t>Yo cambiaría el foco de los foros. Generaria preguntas para discución y análisis, para activación de conocimientos previos. Mientras que en la actualidad esmás un trabajo de investigación académico con apa incluída.</t>
  </si>
  <si>
    <t>La malla curricular fue excelente  ,cada profesor con un  conocimiento  excepcional  ,me voy con un arcenal de  aprendizajes  .muchas gracias</t>
  </si>
  <si>
    <t>Al ser un diplomado certificado deberían dar pase escolar aunque sea online, dado que uno paga mensualidades al menos por un año.</t>
  </si>
  <si>
    <t>Gracias a los docentes por su apoyo en todo el diplomado, aprendí mucho</t>
  </si>
  <si>
    <t>Docentes con escaso manejo pedagógico en asignaturas de Orientación Familiar y Orientación Educacional. Agradecer a la docente Pilar que fue la mejor de todo el diplomado con sus consejos y contenidos</t>
  </si>
  <si>
    <t>La profesora Pilar Hernandez, maravillosa para la entrega y explicación de contenidos y habilidades blandas. Un 7!!</t>
  </si>
  <si>
    <t>Muy buena la universidad, muy buenos docentes y clases de primer nivel</t>
  </si>
  <si>
    <t>Fue una experiencia muy enriquecedora, a pesar de la modalidad, la interacción fue fenomenal, los aprendizajes adquiridos excelentes, en especial de la profesora Pilar Hernández , excelente académica, y del profesor Sergio Román. Solo Gracias Totales.</t>
  </si>
  <si>
    <t>Excellentes docentes y una buena experiencia.</t>
  </si>
  <si>
    <t>El ingreso a las plataformas no es tan amigable</t>
  </si>
  <si>
    <t>Buen cuerpo docente del diplomado , el horario muy acorde para las personas que trabajamos . En ocasiones la plataforma no funcionaba bien. Pero estoy muy conforme con todo lo aprendido , sin lugar a dudas tomaré otro diplomado con ustedes  muy recomendado.</t>
  </si>
  <si>
    <t>Información clara y oportuna</t>
  </si>
  <si>
    <t>Estoy muy satisfecha con esta linda experiencia.</t>
  </si>
  <si>
    <t>Quisiera destacar el entusiasmo de la profesora Pilar Hernández, que nos motivó para seguir adelante, su profesionalismo y entrega. También, a la profesora Elizabeth Chávez por su calidez, profesionalismo y exigencia y finalmente, a la profesora Damaris Henríquez por compartir sus conocimientos y atender siempre nuestras dudas con tanta paciencia.</t>
  </si>
  <si>
    <t>El uso de blacboard</t>
  </si>
  <si>
    <t>Un muy buen programa</t>
  </si>
  <si>
    <t>Muy buen programa ...</t>
  </si>
  <si>
    <t>no hubo coordinacion en el diplomado, las clases, los materiales y grabaciones no fueron entregados por la plataforma. NO hay uso de las plataformas de la UDLA por parte de los profesores.  Aun no colocan todas las notas. Desde la coordinación no hubo respuesta a las necesidades de los estudiantes</t>
  </si>
  <si>
    <t>Encuentro que está bien estructurado y formulado el diplomado</t>
  </si>
  <si>
    <t>El enfoque de aprendizaje aplicado a la práctica pedagógica me ha aportado mucho en los trabajos que nos tocó realizar. Fue una muy buena oportunidad y la agradezco mucho.</t>
  </si>
  <si>
    <t>Muy buen programa y excelentes docentes</t>
  </si>
  <si>
    <t>Excelente calidad de docentes, comprometidos con nuestro aprendizajes. Las asignaturas muy bien diseñadas y presentadas de tal.manera que se pude visualizar mi progreso de aprendizaje. La.metodología invertida me permitió aprendizaje, resolver dudas posteriormente en la clase sincrónica. Los trabajos colaborativos me permitieron aprender de mis compañeras y disfrutar cada momento. Solo les sugiero evaluar que las cátedras y examen se desarrollen en los tiempos de clases ya sea sincrónica o asincrónica.  Gracias.</t>
  </si>
  <si>
    <t>Excelente Diplomado, buenos profesores.</t>
  </si>
  <si>
    <t>Me gustó mucho la experiencia. Los y las docentes excelentes, y con mucha experiencia y conocimiento.</t>
  </si>
  <si>
    <t>La información general de los cursos como programas, syllabus y otros no coinciden con las asignaturas impartidas en algunos casos. Algunos de los materiales tampoco estaban actualizados en blackboard. Me gustó mucho el diplomado.</t>
  </si>
  <si>
    <t>Me gustó mucho cada módulo. Cada contenido estuvo muy bien organizado y aporta de manera muy significativa a mi labor como docente.  Una sugerencia sería comenzar antes el diplomado para que finalice en diciembre. Se hace difícil coordinar la asistencia a las clases estando ya en vacaciones.</t>
  </si>
  <si>
    <t>La demora en la entrega de notas de algunos profesores opaca todo lo bueno del diplomado.</t>
  </si>
  <si>
    <t>Respuesta profesores</t>
  </si>
  <si>
    <t>Me encantó, sumamente útil</t>
  </si>
  <si>
    <t>Satisfecha con contenidos, materiales, metodología y académicos excepto uno de ellos que sus instrumentos de evaluación no eran los más pertinentes por su grado de exigencia. Copiar y pegar de un escrito a otro no corresponde. Gracias por sus aportes importantes y destacados</t>
  </si>
  <si>
    <t>La coordinadora del Diplomado es Beatriz Bustamante, pero no aparece en los nombres. Ha sido una gran experiencia y creo que volveré a repetirla y profundizar más en este ámbito.</t>
  </si>
  <si>
    <t>Excelente instancia para la educación continúa de académicos</t>
  </si>
  <si>
    <t>Las clases del diplomado fueron un poco aburridas, falta dinamizar las clases, agregar TIC ya que en algunos casos los docentes hicieron muchos monólogos o clase expositiva.</t>
  </si>
  <si>
    <t>Excelente contenido del Diploma. Lo que cambiaría es que el enlace de las clases sea siempre el mismo para todo el semestre, porque teníamos que estar consiguiendo el enlace nuevo cuando cambiaba el profesor.</t>
  </si>
  <si>
    <t>Si no es por Carolina, no podría avanzar en el portal de MIUDLA, siempre con problemas la plataforma, ella me ayudó en muchas oportunidad, por lo tanto, le agradezzco y felicito por eso.</t>
  </si>
  <si>
    <t>Los contenidos fueron buenos y bien abordados, a mejora es la metodología de recuperación de clases ya que quedaron un par que no se tomaron</t>
  </si>
  <si>
    <t>Me encantó el diplomado, me gustaría recibir recomendaciones de diplomados similares, con el fin de capacitarme constantemente y estar acorde a educación actual.</t>
  </si>
  <si>
    <t>Fue un estudio especial, difícil para mi que no soy prof de matematica, me ayudo muchísimo a pensar a organizar trabajos innovadores el último de didáctica es genial, me abría gustado que fuera más tiempo este modulo pues era muy práctico. Gracias. Recomendado.</t>
  </si>
  <si>
    <t>Excelente curso</t>
  </si>
  <si>
    <t>Excelente experiencia, me gustaría tomar otros diplomados</t>
  </si>
  <si>
    <t>Algunas clases del diplomado no se grabaron, mi percepción es por falta de capacitación a los docentes que la impartían, deberían ponerle foco ahí, se perdió material importante para mi</t>
  </si>
  <si>
    <t>La verdad, todo muy bien organizado</t>
  </si>
  <si>
    <t>Creo que se debe tener en cuenta la gran cantidad de información que se maneja en algunos módulos considerando la cantidad de clases. Existieron alguna evaluaciones que mas alla de ser exigentes, el campo de evaluación fue muy amplio. Se debería enfocar en tener evaluaciones o trabajos mas especificos y no ampliar tanto el rango, esto dado por temas de otras responsabilidades diarias como son el tiempo de nuestros trabajos y la familia.</t>
  </si>
  <si>
    <t>En general muy bien diplomado , me sirvió mucho en mi desarrollo profesional</t>
  </si>
  <si>
    <t>Gracias por el contenido y las respuestas</t>
  </si>
  <si>
    <t>Me gustó el programa y la forma de tratar los temas</t>
  </si>
  <si>
    <t>Cambiar el modulo de planificación y gestión, ultimo ramo del diplomado esperamos aprender mas técnica concreta de los regimenes y empresa. asi poder aplicar los conocimiento en la vida real con los cliente, me falto eso quede con gusto a poco en ese ramo y fue el que mas espere y por el que decidí tomar el diplomado, así que un poco decepcionada</t>
  </si>
  <si>
    <t>ME AGRADO MUCHO EL DIPLOMADO REALIZADO, ES MAS SI EN EL FUTURO ME INTERESA REALIZAR OTRO DIPLOMADO LO HARIA CON USTEDES DE NUEVO, GRACIAS</t>
  </si>
  <si>
    <t>Sin comentarios</t>
  </si>
  <si>
    <t>En general todo bien</t>
  </si>
  <si>
    <t>agradecida de los conocimientos entregados en el curso</t>
  </si>
  <si>
    <t>Mejoren</t>
  </si>
  <si>
    <t>Sugiero revisar la continuidad entre los contenidos entre ramos , hay algunos que no tenían ninguna relación . Y el ramo final no parecía tener un desarrollo acorde a los contenidos estipulados. Finalmente solo 2 profesores de los presentados en el folleto hicieron clases y yo llegue a uds por los currículum de los profesores, por lo que me decepcioné un poco.</t>
  </si>
  <si>
    <t>En el diplomado debiese especificar tener conocimientos previos para lograr entender mejor desde el inicio</t>
  </si>
  <si>
    <t>Sin</t>
  </si>
  <si>
    <t>Me parece muy bien que realicen diplomados de este tipo, mezclando eventos y mediación artística, son pocos del mercado que lo hacen. Los docentes son muy buenos.</t>
  </si>
  <si>
    <t>Ha sido mi primer diplomado, y excelente calidad de servicio estudiantil. Me hubiese encantado estudiar un pregrado porque ya viendo un excelente diplomado, logro ver el Profesionalismo y la calidad de profesores.  Calidad académica  Y calidad desde servicio.</t>
  </si>
  <si>
    <t>Muchas gracias por todo!</t>
  </si>
  <si>
    <t>Ojalá sigan realizándose diplomas en relación a la producción de eventos desde la facultad de economía, fue muy enriquecedor el ver la materia desde esta arista.</t>
  </si>
  <si>
    <t>Excelente diplomado y lo recomiendo a quienes quieran adquirir estas herramientas</t>
  </si>
  <si>
    <t>Si todas las clases están grabadas, les invito a revisar (cosa que se que no harán) en qué al menos el 30%del contenido indicado en la malla se cumplió, no me interesa escuchar la vida de los docentes, no me interesan las historias a menos que sean parte de la clase como tal y tengan un valor pedagógico, me tomé más de 10 años en animarme a estudiar y creo que este diplomado, en la forma que se impartió no da la altura de lo que promete la malla curricular.  Clases mejores programadas, sería ideal que el contenido a impartir sea previamente revisado y aprobado por el coordinador, muchas clases no se hizo nada. Hasta la fecha aún no están todas las notas, las evaluaciones indicadas en la malla no fueron lo que se hizo en realidad.   Atte CYNTHIA HIDALGO. Pd: los docentes que salvaron a pesar de que tampoco las clases coincidieron con la malla fueron el de aspectos legales y el de marketing, buena oratoria, lograron que estudiantes adultos pudieran poner real atención en clases, mis felicitaciones para ellos.</t>
  </si>
  <si>
    <t>Los contenidos del programa no son relevantes como para considerarse un diplomado, los profesores parecieran improvisar en los contenidos, los académicos no saben ocupar zoom ni la blackboard, definitivamente no es un diplomado, sería un curso. No vale la pena. Los contenidos no cargados en las plataformas, los profesores envías o por mail contenido que no se puede visualizar, la coordinación es pésima, nosotros como alumnos nos teníamos que organizar para obtener los enlaces para ingresar a zoom porque la información no llegaba de manera correcta y el coordinador…</t>
  </si>
  <si>
    <t>Encuentro que para ser un diplomado de una universidad y el valor de este, es muy básico. En un principio se comento que era presencial y en las clases nos enteramos que era Online. Para un diplomado es importante filtrar los alumnos, muchas veces nos quedamos en un mismo tema solo por que algunos compañero no entendían conceptos básicos  (Tanto financieros como gastronómicos). Sinceramente me voy con un gusto extraño ya que era un diplomado que me gusto mucho por su malla pero que en las clases no se demostraba eso.</t>
  </si>
  <si>
    <t>Gracias por todo</t>
  </si>
  <si>
    <t>siento que algunas asignaturas podrian haber teniado mas tiempo que otras...</t>
  </si>
  <si>
    <t>Mantener acceso a los módulos para repasar el contenido</t>
  </si>
  <si>
    <t>Al inicio, en los primeros prácticos había poco instrumental para trabajar, después había un poco más pero de todos modos se hacía insuficiente</t>
  </si>
  <si>
    <t>Deberían mejorar los avisos de pruebas ya que siempre fueron muy cercanos a la fecha por lo que debimos cambiarlos cada vez que nos pasaba. Las pruebas debieran ser en días de semana y dejar los días de descanso libres. Faltó la parte práctica con cadáveres, sobretodo para los que no teníamos experiencia en el área, y no hubo parte práctica de fisiatría. Lo demás bien en mi caso, yo aprendí de cero y me quedo conforme con los conocimientos aportados, sólo faltó la práctica. Gracias</t>
  </si>
  <si>
    <t>Buen programa académico ,muy buenos docentes ,todo extraordinario .agradecido totalmente</t>
  </si>
  <si>
    <t>Excelente diplomado con grandes profesionales</t>
  </si>
  <si>
    <t>Buen diplomado, bien coordinado, buen grupo humano y profesional</t>
  </si>
  <si>
    <t>Mi única recomendación para el programa, es profundizar en el modulo de instrumental y aparatos.</t>
  </si>
  <si>
    <t>excelente diplomado gracias por la oportunidad de participar en el</t>
  </si>
  <si>
    <t>Termino muy satisfecho el diplomado gracias</t>
  </si>
  <si>
    <t>Las grabaciones de las clases no son fáciles de visualizar, ya que habían 5 o 7 aprox. Se modifico mucho los horarios de las clases con respecto al organigrama entregado. Faltaron contenidos fundamentales en patologías musculoesqueleticas, anestesia y otros  Muy buenos docentes nacionales e internacionales  Excelente clase práctica</t>
  </si>
  <si>
    <t>El Diplomado fue interesante, quizas en mi caso, no sea tan facil llevar a la práctica muchos de los procedimentos por el entorno en que me encuentro, pero la información está y es valiosa, como sugerencia creo que debieran ser mas días presenciales, se aprende mucho más y se gana confianza en los procedimientos a realizar, gracias</t>
  </si>
  <si>
    <t>Todo casi impecable a pesar que en el periodo estival desde Diciembre en adelante se produjo problemas con las fechas de las clases existiendo descoordinación con los tiempos de uno con respecto a los tiempos de los docentes y a parte no quedó claro quien reemplaza a la coordinadora o quizás nadie reemplaza (desconozco) en los periodos de vacaciones, y por último, se requiere más práctica en complementación con las clases online</t>
  </si>
  <si>
    <t>Buena formación y entrega de conocimientos.</t>
  </si>
  <si>
    <t>En los prácticos no había instrumental ni pacientes para practicar</t>
  </si>
  <si>
    <t>Disminuyeron la cantidad de prácticos que ofrecían al comienzo y en el folleto que daban salían equinos y no se ve nada de equinos, solo animales menores.</t>
  </si>
  <si>
    <t>Lo único que tengo que acotar esque al principio cuando me inscribí al diplomado nos comentaron que las clases prácticas serian TODOS los jueves que duraba el diplomado y pague por ello, despues nos cambiaron el horario y solo fueron 3 o 4 clases prácticas. Mi comentario va a que se cobro lo mismo en el diplomado, siendo que al principio fue otra propuesta de calendario de clases, y termino siendo otra con menos clases prácticas. Lo demas todo ok y fue excelente.</t>
  </si>
  <si>
    <t>Oportunidad relacion al area del diplomado en el mismo campus melipilla</t>
  </si>
  <si>
    <t>Nunca pude ingresar de forma debida a UDLA, eso fue lo unico que no me gusto, ya que solicite ayuda pero nunca me funciono de todas maneras entonces eso dificulto mi proceso</t>
  </si>
  <si>
    <t>Por favor, verificar con los docentes antes de iniciar el diplomado sus programas de estudio y material de acceso a sus estudiantes y que éstos se cumplan en el tiempo estimado. Lo digo por el módulo de discapacidad intelectual, ya que, la docente no envió presentaciones ni material y además, los contenidos vistos no concordaron con los objetivos del diplomado. Era un módulo muy importante para mi ya que, en el colegio que trabajo tengo muchos casos con el diagnóstico, así que, fue cero provechoso para mí. En el portal Blackboard, no figuraba objetivos del módulo ni nada que orientara los temas a ver. Los contenidos vistos escaparon totalmente de las NEE que en general se ven en los establecimientos, se enfocó en casos muy puntuales y con menor porcentaje de prevalencia en la educación regular.  Ojalá también pudieran supervisar las evaluaciones que realizan los docentes, no estuve de acuerdo con que el docente de TEA nos pidiera responder a la evaluación final extensa a mano, pidiéndonos enviar fotos de las hojas de respuesta solo por "miedo" a que usemos IA para en las respuestas, hay otras formas de verificar eso. Está bien que usemos APA para referenciar en nuestra área (psicología), sin embargo, fueron muy exhaustivos con el criterio sin considerar la variabilidad de profesiones del diplomado, donde no todos la conocían o habían aplicado, lo que significó un doble esfuerzo de su parte o de los psicólogos en el trabajo grupal, podrían haber dado opciones de referencias si el diplomado es abierto para variadas profesiones.</t>
  </si>
  <si>
    <t>Un diplomado de excelencia, profesores de alto nivel, y un experiencia de aprendizaje de gran valor. Estoy muy satisfecha con los distintos módulos,  en los cuales aprendí significativamente para mi desempeño profesional.  Muchas gracias</t>
  </si>
  <si>
    <t>dejar disponible el ingreso a la plataforma  y las aplicaciones</t>
  </si>
  <si>
    <t>Fue un buen programa de estudios con materias actuales para el desarrollo profesional. Además de contar con profesores muy buenos en las asignaturas y plataforma muy fácil para el estudio.  Sólo un aspecto a mejorar en la metodología de la asignatura de legislación laboral del profesor, cambiar la metodología y focalizar la materia en otros aspectos más relevantes a la actualidad.</t>
  </si>
  <si>
    <t>mejorar los accesos a los contenidos y que los link de conexión sea mas efectivos</t>
  </si>
  <si>
    <t>Fue un gran diplomado con materias muy interesantes de aprender, el cuál aportaran para mi desarrollo profesional, además de las pltaformas usadas de gran facilidad para llevar a cabo el estudio, junto con la comunicación con la coordinadora academica.</t>
  </si>
  <si>
    <t>El módulo legal fue complejo con el profesor Rodrigo, creo que el perfil docente desencajó profundamente con el resto de docentes(Paulina, Consuelo y Pilar), respecto del feedback de las notas que nunca llegó, el Blackboard no estaba disponible para la carga de trabajos de módulos, salvo profesora Paulina. Además, las clases con él eran demasiado aburridas, estaba respondiendo WhatsApp en varias clases, no abordó materias sobre el servicio público, compromiso que adquirió en la primera clase y no lo cumplió, así como también hubo clases que superaron las 23 horas.  Mis felicitaciones a las otras 3 docentes, excelentes profesionales, muy dinámicas y con amplios conocimientos y disposición para dar respuesta a todas las preguntas. También mis agradecimientos a la Coordinadora Fernanda Miranda, por su cercanía y oportuna información, en especial, cada vez que iniciamos cada módulo. También, se le agradece reunión de inicio y de término, lo cual considero que es sumamente importante. Muchas gracias por todo! Un abrazo    Eugenia A.</t>
  </si>
  <si>
    <t>sigan asi, todo muy bien</t>
  </si>
  <si>
    <t>Me falta mayor facilidad de interacción entre ambas plataformas, quizás unirlas</t>
  </si>
  <si>
    <t>Plataforma desordenada, me costo simpre encontrar la información, poco intuitivo</t>
  </si>
  <si>
    <t>Pésima experiencia con la coordinadora del programa, nunca obtuve respuesta a los múltiples correos electrónicos enviados, no realizo ninguna coordinación, terminamos aclarando consultas con los docentes, ellos debían coordinar con ella o insistirle para que responda. Creo que ella perjudica directamente a la universidad y al programa impartido.</t>
  </si>
  <si>
    <t>Buen diplomado, sin embargo, considero que tuvimos pésima coordinación en solucionar temas inmediatos de conexión a clases y de respuesta q correos(del correo q envié nunca recibí respuesta).</t>
  </si>
  <si>
    <t>Omito</t>
  </si>
  <si>
    <t>Mala organización del diplomado, los estudiantes en su mayoría fuimos TS y los docentes psicólogos en su totalidad, el profe Mario de malas pulgas fue irrespetuoso con una estudiante, la única profesora buena fue la docente Sandra Trabajadora Social y nos aportó arto desde sus experiencias y conocimientos lástima que nos designaron muy pocas horas con ella, ella nos debió acompañar en el trabajo final.  Y ahora que terminamos el diplomado suben rúbricas y pautas decente, pésimo servicio.</t>
  </si>
  <si>
    <t>La verdad la universidad todo bien pero su curso de diplomado es pésimo explican al lote…. Prácticamente no te dicen la nota antes del informe creo que no tiene transparencia deberían mostrar antes la nota del informe y uno prepararse para el examen oral aparte los profesores como que a última instancia te dan toda las notas y si te quieren reprobar lo hacen, además solo dan una instancia de examen y son meses perdidos, no lo recomiendo para nada es malo, los profesores y más que nada algunos y la forma que tienen para calificar al final pésima</t>
  </si>
  <si>
    <t>Mala comunicacion de parte de la coordinadora y no resolvio las inquietudes que se presentaron</t>
  </si>
  <si>
    <t>Es inaceptable el comportamiento del docente Mario, quien durante una sesión de clases se dirigió a una estudiante de manera pública manifestando a viva voz que ella "estaba de adorno". Este tipo de comentarios no solo vulneran la dignidad del alumnado, sino que contravienen cualquier código de ética docente y respeto básico en el aula. Además de que ante cualquier consulta de los estudiantes en relación a pautas, rúbricas , retroalimentación, modelo de informes el respondía a que en un Juicio no podemos pedir eso. Considerando que como estudiantes lo podemos solicitar para aprender correctamente pero le falta mucho a este diplomado o a docentes más profesionales porque deverdad que no cuentan con la vocación para enseñar. Mientras otros cursos contaron con ejemplos de informes, preparación de juicios y acompañamiento constante, nuestro grupo careció de estos recursos. • Tuvimos que autogestionar información contactando a compañeros de otros paralelos para entender los requerimientos de las evaluaciones. Varios docentes delegaron responsabilidades académicas en la delegada de curso, descansando en ella labores que corresponden estrictamente al profesorado, si está el correo instituciiñonal y los docentes tienen el de todos los alumnos.  Además en el trabajo final La retroalimentación fue únicamente verbal y superficial, (aparte los don entes en particular Mario estaba de mala gana) sin ningún respaldo por escrito que nos permitiera mejorar nuestras competencias. Queremos recalcar una falla estructural en la organización del programa a pesar de que la gran mayoría de los alumnos somos Trabajadores Sociales, el cuerpo docente está compuesto casi en su totalidad por psicólogos. Fuimos divididos de manera arbitraria e incorrecta, quedando sin el acompañamiento de docentes de nuestra propia área que pudieran orientarnos en la elaboración de informes desde la perspectiva del Trabajo Social esto en los últimos meses de trabajo final. La guía recibida fue insuficiente y sesgada, ignorando las competencias específicas de nuestra profesión y dejándonos en una situación de abandono técnico durante el proceso.</t>
  </si>
  <si>
    <t>Es inaceptable el comportamiento del docente Mario quien durante una sesión de clases se dirigió a una estudiante a viva voz que ella "estaba de adorno". Este tipo de comentarios no solo vulneran la dignidad del alumnado, sino que contravienen cualquier código de ética docente y respeto básico en el aula. Hemos constatado una evidente brecha de contenido y acompañamiento entre los distintos grupos del diplomado: • Mientras otros cursos contaron con ejemplos de informes, preparación de juicios y acompañamiento constante, nuestro grupo careció de estos recursos. • Tuvimos que autogestionar información contactando a compañeros de otros paralelos para entender los requerimientos de las evaluaciones. • Varios docentes delegaron responsabilidades académicas en la delegada de curso, descansando en ella labores que corresponden estrictamente a ellos. La respuesta entregada ante nuestra solicitud de rúbricas y retroalimentación es pedagógicamente improcedente. Se nos indicó que "en un juicio real no hay rúbrica ni retroalimentación"; sin embargo: • Contexto Académico: Estamos en un proceso de formación, no en el ejercicio profesional aún. El objetivo del diplomado es el aprendizaje, el cual es imposible sin criterios claros (rúbricas) y una devolución técnica de nuestros errores.  La retroalimentación fue únicamente verbal y superficial, sin ningún respaldo por escrito que nos permitiera mejorar nuestras competencias.  En fin pésima experiencia no recomendaría a nadie diplomados en UDLA.</t>
  </si>
  <si>
    <t>Siento que no fue lo esperado, y cuando realicé consultas las respuestas que obtuve fueron bastante escuetas</t>
  </si>
  <si>
    <t>Es muy buena la herramienta blackbord, sin embargo al cambiar los módulos, fué un poco engorroso y estar cambiado del link recurrente también, lo demás un 7 los docentes siempre con el material subido en la plataforma, muchas gracias a todos</t>
  </si>
  <si>
    <t>no tengo comentarios</t>
  </si>
  <si>
    <t>Excelente experiencia, profesores altamente calificados, contenidos acordes a los contextos</t>
  </si>
  <si>
    <t>Me pareció un excelente diplomado expuesto por profesionales de excelencia muy conforme con el diplomado.</t>
  </si>
  <si>
    <t>Me Gusto La Experiencia Que Viví En El Diplomado.</t>
  </si>
  <si>
    <t>En mi opinion el profesor Mario Retamales, tiene una actitud muy poco empatica con el alumnado, principalmente a la hora de entregar los contenidos y las herramientas de estudio. No nos entregó una rubrica adecuada para el desarrollo de el informe final.</t>
  </si>
  <si>
    <t>MUY BUENA EXPERIEMNCIA.</t>
  </si>
  <si>
    <t>Felicitar a la universidad por la calidad de docentes que imparten el diplomado de alta calidad,agradecer la constante comunicación de nuestra coordinadora. Muy agradecida una excelente universidad  Eternamente agradecida</t>
  </si>
  <si>
    <t>Felicidades por un excelente servicio! Gracias 😂</t>
  </si>
  <si>
    <t>Excelente  el diplomado,buena disposición  de los profesores  me siento muy satisfecha .Gracias por la formación.</t>
  </si>
  <si>
    <t>Me encuentro muy satisfecha y agradecida con esta experiencia.</t>
  </si>
  <si>
    <t>Los docentes excelente, nada que decir, pero la coordinadora todo lo contrario, nunca respondía los correos, cuando tuvimos algún problema ella nunca solucionó nada, mandé un correo en noviembre y a la fecha sigo esperando su respuesta, me parece realmente una burla!! Para nunca más un postgrado en esta universidad, es una pena, porque si me llamaba la atención otro diplomado, pero después de esta experiencia claramente buscaré otras opciones.</t>
  </si>
  <si>
    <t>LA VERDAD, ESTAN MUY BUENOS LOS PROGRAMAS Y PLATAFORMAS DE AYUDA PARA LOS ESTUDIANTES DE HOY EN DIA, EN LO PERSONAL ME COSTO UN POCO EL MANEJO DE LA PLATAFORMA Y AYUDAS TECNOLOGICAS YA QUE SOY UNA PERSONA BASTANTE MAYOR QUE LAS HABILIDADES EN LA TECNOLOGIA SE VAN COMPLICANDO, DEBERIAN SER MAS FACIL O PRACTICO PARA PERSONAS DE 50 AÑOS HACIA ARRIBA</t>
  </si>
  <si>
    <t>Mayor cantidad de clases presenciales</t>
  </si>
  <si>
    <t>Muy buena universidad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</si>
</sst>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4"/>
      <color rgb="FFFFFFFF"/>
      <name val="Arial"/>
    </font>
    <font>
      <sz val="10"/>
      <color rgb="FF6F6F6F"/>
      <name val="Arial"/>
    </font>
    <font>
      <b/>
      <sz val="20"/>
      <color rgb="FFFFFFFF"/>
      <name val="Arial"/>
    </font>
    <font>
      <b/>
      <sz val="18"/>
      <color rgb="FFFFFFFF"/>
      <name val="Arial"/>
    </font>
    <font>
      <b/>
      <sz val="16"/>
      <color rgb="FFFFFFFF"/>
      <name val="Arial"/>
    </font>
    <font>
      <b/>
      <sz val="11"/>
      <color rgb="FFFFFFFF"/>
      <name val="Arial"/>
    </font>
    <font>
      <sz val="10"/>
      <name val="Arial"/>
    </font>
    <font>
      <sz val="10"/>
      <color rgb="FF000000"/>
      <name val="Arial"/>
    </font>
    <font>
      <b/>
      <sz val="10"/>
      <color rgb="FF00B050"/>
      <name val="Arial"/>
    </font>
    <font>
      <b/>
      <sz val="10"/>
      <color rgb="FFC00000"/>
      <name val="Arial"/>
    </font>
    <font>
      <b/>
      <i/>
      <sz val="9"/>
      <color rgb="FF6C3483"/>
      <name val="Arial"/>
    </font>
    <font>
      <i/>
      <sz val="9"/>
      <color rgb="FF6C3483"/>
      <name val="Arial"/>
    </font>
    <font>
      <i/>
      <sz val="9"/>
      <color rgb="FF595959"/>
      <name val="Arial"/>
    </font>
    <font>
      <b/>
      <sz val="10"/>
      <color rgb="FFFFFFFF"/>
      <name val="Arial"/>
    </font>
    <font>
      <i/>
      <sz val="9"/>
      <color rgb="FF7F7F7F"/>
      <name val="Arial"/>
    </font>
    <font>
      <i/>
      <sz val="10"/>
      <color rgb="FF595959"/>
      <name val="Arial"/>
    </font>
    <font>
      <b/>
      <sz val="9"/>
      <color rgb="FFC55A11"/>
      <name val="Arial"/>
    </font>
    <font>
      <b/>
      <i/>
      <sz val="10"/>
      <color rgb="FF6C3483"/>
      <name val="Arial"/>
    </font>
    <font>
      <b/>
      <sz val="10"/>
      <color rgb="FFC07800"/>
      <name val="Arial"/>
    </font>
  </fonts>
  <fills count="20">
    <fill>
      <patternFill patternType="none"/>
    </fill>
    <fill>
      <patternFill patternType="gray125"/>
    </fill>
    <fill>
      <patternFill patternType="solid">
        <fgColor rgb="FF1F3864"/>
      </patternFill>
    </fill>
    <fill>
      <patternFill patternType="solid">
        <fgColor rgb="FFEBF3FB"/>
      </patternFill>
    </fill>
    <fill>
      <patternFill patternType="solid">
        <fgColor rgb="FF1A5276"/>
      </patternFill>
    </fill>
    <fill>
      <patternFill patternType="solid">
        <fgColor rgb="FF0E6655"/>
      </patternFill>
    </fill>
    <fill>
      <patternFill patternType="solid">
        <fgColor rgb="FFC00000"/>
      </patternFill>
    </fill>
    <fill>
      <patternFill patternType="solid">
        <fgColor rgb="FF34495E"/>
      </patternFill>
    </fill>
    <fill>
      <patternFill patternType="solid">
        <fgColor rgb="FF00B050"/>
      </patternFill>
    </fill>
    <fill>
      <patternFill patternType="solid">
        <fgColor rgb="FF2E74B5"/>
      </patternFill>
    </fill>
    <fill>
      <patternFill patternType="solid">
        <fgColor rgb="FFF2F7FC"/>
      </patternFill>
    </fill>
    <fill>
      <patternFill patternType="solid">
        <fgColor rgb="FFFFFFFF"/>
      </patternFill>
    </fill>
    <fill>
      <patternFill patternType="solid">
        <fgColor rgb="FFE8DAEF"/>
      </patternFill>
    </fill>
    <fill>
      <patternFill patternType="solid">
        <fgColor rgb="FFD6EAF8"/>
      </patternFill>
    </fill>
    <fill>
      <patternFill patternType="solid">
        <fgColor rgb="FFF5F5F5"/>
      </patternFill>
    </fill>
    <fill>
      <patternFill patternType="solid">
        <fgColor rgb="FFFCE4D6"/>
      </patternFill>
    </fill>
    <fill>
      <patternFill patternType="solid">
        <fgColor rgb="FFD5F5E3"/>
      </patternFill>
    </fill>
    <fill>
      <patternFill patternType="solid">
        <fgColor rgb="FFE8F5E9"/>
      </patternFill>
    </fill>
    <fill>
      <patternFill patternType="solid">
        <fgColor rgb="FFFFF8E1"/>
      </patternFill>
    </fill>
    <fill>
      <patternFill patternType="solid">
        <fgColor rgb="FFFFEBEE"/>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75">
    <xf numFmtId="0" fontId="0" fillId="0" borderId="0" xfId="0"/>
    <xf numFmtId="0" fontId="6" fillId="2" borderId="0" xfId="0" applyFont="1" applyFill="1" applyAlignment="1">
      <alignment horizontal="center" vertical="center" wrapText="1"/>
    </xf>
    <xf numFmtId="0" fontId="6" fillId="4" borderId="0" xfId="0" applyFont="1" applyFill="1" applyAlignment="1">
      <alignment horizontal="center" vertical="center" wrapText="1"/>
    </xf>
    <xf numFmtId="0" fontId="6" fillId="5" borderId="0" xfId="0" applyFont="1" applyFill="1" applyAlignment="1">
      <alignment horizontal="center" vertical="center" wrapText="1"/>
    </xf>
    <xf numFmtId="0" fontId="7" fillId="10" borderId="1" xfId="0" applyFont="1" applyFill="1" applyBorder="1" applyAlignment="1">
      <alignment horizontal="left" vertical="center" indent="1"/>
    </xf>
    <xf numFmtId="0" fontId="8" fillId="10" borderId="1" xfId="0" applyFont="1" applyFill="1" applyBorder="1" applyAlignment="1">
      <alignment horizontal="center" vertical="center"/>
    </xf>
    <xf numFmtId="0" fontId="9" fillId="10" borderId="1" xfId="0" applyFont="1" applyFill="1" applyBorder="1" applyAlignment="1">
      <alignment horizontal="center" vertical="center"/>
    </xf>
    <xf numFmtId="0" fontId="10" fillId="10" borderId="1" xfId="0" applyFont="1" applyFill="1" applyBorder="1" applyAlignment="1">
      <alignment horizontal="center" vertical="center"/>
    </xf>
    <xf numFmtId="9" fontId="9" fillId="10" borderId="1" xfId="0" applyNumberFormat="1" applyFont="1" applyFill="1" applyBorder="1" applyAlignment="1">
      <alignment horizontal="center" vertical="center"/>
    </xf>
    <xf numFmtId="0" fontId="7" fillId="11" borderId="1" xfId="0" applyFont="1" applyFill="1" applyBorder="1" applyAlignment="1">
      <alignment horizontal="left" vertical="center" indent="1"/>
    </xf>
    <xf numFmtId="0" fontId="8" fillId="11" borderId="1" xfId="0" applyFont="1" applyFill="1" applyBorder="1" applyAlignment="1">
      <alignment horizontal="center" vertical="center"/>
    </xf>
    <xf numFmtId="0" fontId="9" fillId="11" borderId="1" xfId="0" applyFont="1" applyFill="1" applyBorder="1" applyAlignment="1">
      <alignment horizontal="center" vertical="center"/>
    </xf>
    <xf numFmtId="0" fontId="10" fillId="11" borderId="1" xfId="0" applyFont="1" applyFill="1" applyBorder="1" applyAlignment="1">
      <alignment horizontal="center" vertical="center"/>
    </xf>
    <xf numFmtId="9" fontId="9" fillId="11" borderId="1" xfId="0" applyNumberFormat="1" applyFont="1" applyFill="1" applyBorder="1" applyAlignment="1">
      <alignment horizontal="center" vertical="center"/>
    </xf>
    <xf numFmtId="0" fontId="11" fillId="12" borderId="1" xfId="0" applyFont="1" applyFill="1" applyBorder="1" applyAlignment="1">
      <alignment horizontal="center" vertical="center"/>
    </xf>
    <xf numFmtId="0" fontId="12" fillId="12" borderId="1" xfId="0" applyFont="1" applyFill="1" applyBorder="1" applyAlignment="1">
      <alignment horizontal="center" vertical="center"/>
    </xf>
    <xf numFmtId="0" fontId="13" fillId="10" borderId="1" xfId="0" applyFont="1" applyFill="1" applyBorder="1" applyAlignment="1">
      <alignment horizontal="center" vertical="center"/>
    </xf>
    <xf numFmtId="9" fontId="10" fillId="11" borderId="1" xfId="0" applyNumberFormat="1" applyFont="1" applyFill="1" applyBorder="1" applyAlignment="1">
      <alignment horizontal="center" vertical="center"/>
    </xf>
    <xf numFmtId="9" fontId="10" fillId="10" borderId="1" xfId="0" applyNumberFormat="1" applyFont="1" applyFill="1" applyBorder="1" applyAlignment="1">
      <alignment horizontal="center" vertical="center"/>
    </xf>
    <xf numFmtId="0" fontId="14" fillId="2" borderId="1" xfId="0" applyFont="1" applyFill="1" applyBorder="1" applyAlignment="1">
      <alignment horizontal="left" vertical="center" indent="1"/>
    </xf>
    <xf numFmtId="0" fontId="14" fillId="2" borderId="1" xfId="0" applyFont="1" applyFill="1" applyBorder="1" applyAlignment="1">
      <alignment horizontal="center" vertical="center"/>
    </xf>
    <xf numFmtId="9" fontId="14" fillId="2" borderId="1" xfId="0" applyNumberFormat="1" applyFont="1" applyFill="1"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left" vertical="center" wrapText="1" indent="1"/>
    </xf>
    <xf numFmtId="0" fontId="7" fillId="13" borderId="1" xfId="0" applyFont="1" applyFill="1" applyBorder="1" applyAlignment="1">
      <alignment horizontal="center" vertical="center"/>
    </xf>
    <xf numFmtId="0" fontId="9" fillId="13" borderId="1" xfId="0" applyFont="1" applyFill="1" applyBorder="1" applyAlignment="1">
      <alignment horizontal="center" vertical="center"/>
    </xf>
    <xf numFmtId="0" fontId="10" fillId="13" borderId="1" xfId="0" applyFont="1" applyFill="1" applyBorder="1" applyAlignment="1">
      <alignment horizontal="center" vertical="center"/>
    </xf>
    <xf numFmtId="164" fontId="7" fillId="13" borderId="1" xfId="0" applyNumberFormat="1" applyFont="1" applyFill="1" applyBorder="1" applyAlignment="1">
      <alignment horizontal="center" vertical="center"/>
    </xf>
    <xf numFmtId="9" fontId="9" fillId="13" borderId="1" xfId="0" applyNumberFormat="1" applyFont="1" applyFill="1" applyBorder="1" applyAlignment="1">
      <alignment horizontal="center" vertical="center"/>
    </xf>
    <xf numFmtId="0" fontId="16" fillId="14" borderId="1" xfId="0" applyFont="1" applyFill="1" applyBorder="1" applyAlignment="1">
      <alignment horizontal="left" vertical="center" indent="1"/>
    </xf>
    <xf numFmtId="0" fontId="16" fillId="14" borderId="1" xfId="0" applyFont="1" applyFill="1" applyBorder="1" applyAlignment="1">
      <alignment horizontal="left" vertical="center" wrapText="1" indent="1"/>
    </xf>
    <xf numFmtId="0" fontId="16" fillId="14" borderId="1" xfId="0" applyFont="1" applyFill="1" applyBorder="1" applyAlignment="1">
      <alignment horizontal="center" vertical="center"/>
    </xf>
    <xf numFmtId="0" fontId="7" fillId="11" borderId="1" xfId="0" applyFont="1" applyFill="1" applyBorder="1" applyAlignment="1">
      <alignment horizontal="left" vertical="center" wrapText="1" indent="1"/>
    </xf>
    <xf numFmtId="0" fontId="7" fillId="11" borderId="1" xfId="0" applyFont="1" applyFill="1" applyBorder="1" applyAlignment="1">
      <alignment horizontal="center" vertical="center"/>
    </xf>
    <xf numFmtId="164" fontId="7" fillId="11" borderId="1" xfId="0" applyNumberFormat="1" applyFont="1" applyFill="1" applyBorder="1" applyAlignment="1">
      <alignment horizontal="center" vertical="center"/>
    </xf>
    <xf numFmtId="9" fontId="10" fillId="13" borderId="1" xfId="0" applyNumberFormat="1" applyFont="1" applyFill="1" applyBorder="1" applyAlignment="1">
      <alignment horizontal="center" vertical="center"/>
    </xf>
    <xf numFmtId="0" fontId="7" fillId="16" borderId="1" xfId="0" applyFont="1" applyFill="1" applyBorder="1" applyAlignment="1">
      <alignment horizontal="left" vertical="center" indent="1"/>
    </xf>
    <xf numFmtId="0" fontId="7" fillId="16" borderId="1" xfId="0" applyFont="1" applyFill="1" applyBorder="1" applyAlignment="1">
      <alignment horizontal="left" vertical="center" wrapText="1" indent="1"/>
    </xf>
    <xf numFmtId="0" fontId="7" fillId="16" borderId="1" xfId="0" applyFont="1" applyFill="1" applyBorder="1" applyAlignment="1">
      <alignment horizontal="center" vertical="center"/>
    </xf>
    <xf numFmtId="0" fontId="9" fillId="16" borderId="1" xfId="0" applyFont="1" applyFill="1" applyBorder="1" applyAlignment="1">
      <alignment horizontal="center" vertical="center"/>
    </xf>
    <xf numFmtId="0" fontId="10" fillId="16" borderId="1" xfId="0" applyFont="1" applyFill="1" applyBorder="1" applyAlignment="1">
      <alignment horizontal="center" vertical="center"/>
    </xf>
    <xf numFmtId="164" fontId="7" fillId="16" borderId="1" xfId="0" applyNumberFormat="1" applyFont="1" applyFill="1" applyBorder="1" applyAlignment="1">
      <alignment horizontal="center" vertical="center"/>
    </xf>
    <xf numFmtId="9" fontId="9" fillId="16" borderId="1" xfId="0" applyNumberFormat="1" applyFont="1" applyFill="1" applyBorder="1" applyAlignment="1">
      <alignment horizontal="center" vertical="center"/>
    </xf>
    <xf numFmtId="9" fontId="10" fillId="16" borderId="1" xfId="0" applyNumberFormat="1" applyFont="1" applyFill="1" applyBorder="1" applyAlignment="1">
      <alignment horizontal="center" vertical="center"/>
    </xf>
    <xf numFmtId="0" fontId="7" fillId="17" borderId="1" xfId="0" applyFont="1" applyFill="1" applyBorder="1" applyAlignment="1">
      <alignment horizontal="left" vertical="center" indent="1"/>
    </xf>
    <xf numFmtId="0" fontId="7" fillId="17" borderId="1" xfId="0" applyFont="1" applyFill="1" applyBorder="1" applyAlignment="1">
      <alignment horizontal="left" vertical="center" wrapText="1" indent="1"/>
    </xf>
    <xf numFmtId="0" fontId="7" fillId="17" borderId="1" xfId="0" applyFont="1" applyFill="1" applyBorder="1" applyAlignment="1">
      <alignment horizontal="center" vertical="center" wrapText="1"/>
    </xf>
    <xf numFmtId="0" fontId="9" fillId="17" borderId="1" xfId="0" applyFont="1" applyFill="1" applyBorder="1" applyAlignment="1">
      <alignment horizontal="center" vertical="center" wrapText="1"/>
    </xf>
    <xf numFmtId="0" fontId="7" fillId="17" borderId="1" xfId="0" applyFont="1" applyFill="1" applyBorder="1" applyAlignment="1">
      <alignment horizontal="left" vertical="top" wrapText="1" indent="1"/>
    </xf>
    <xf numFmtId="0" fontId="7" fillId="18" borderId="1" xfId="0" applyFont="1" applyFill="1" applyBorder="1" applyAlignment="1">
      <alignment horizontal="left" vertical="center" indent="1"/>
    </xf>
    <xf numFmtId="0" fontId="7" fillId="18" borderId="1" xfId="0" applyFont="1" applyFill="1" applyBorder="1" applyAlignment="1">
      <alignment horizontal="left" vertical="center" wrapText="1" indent="1"/>
    </xf>
    <xf numFmtId="0" fontId="7" fillId="18" borderId="1" xfId="0" applyFont="1" applyFill="1" applyBorder="1" applyAlignment="1">
      <alignment horizontal="center" vertical="center" wrapText="1"/>
    </xf>
    <xf numFmtId="0" fontId="19" fillId="18" borderId="1" xfId="0" applyFont="1" applyFill="1" applyBorder="1" applyAlignment="1">
      <alignment horizontal="center" vertical="center" wrapText="1"/>
    </xf>
    <xf numFmtId="0" fontId="7" fillId="18" borderId="1" xfId="0" applyFont="1" applyFill="1" applyBorder="1" applyAlignment="1">
      <alignment horizontal="left" vertical="top" wrapText="1" indent="1"/>
    </xf>
    <xf numFmtId="0" fontId="7" fillId="19" borderId="1" xfId="0" applyFont="1" applyFill="1" applyBorder="1" applyAlignment="1">
      <alignment horizontal="left" vertical="center" indent="1"/>
    </xf>
    <xf numFmtId="0" fontId="7" fillId="19" borderId="1" xfId="0" applyFont="1" applyFill="1" applyBorder="1" applyAlignment="1">
      <alignment horizontal="left" vertical="center" wrapText="1" indent="1"/>
    </xf>
    <xf numFmtId="0" fontId="7" fillId="19" borderId="1" xfId="0" applyFont="1" applyFill="1" applyBorder="1" applyAlignment="1">
      <alignment horizontal="center" vertical="center" wrapText="1"/>
    </xf>
    <xf numFmtId="0" fontId="10" fillId="19" borderId="1" xfId="0" applyFont="1" applyFill="1" applyBorder="1" applyAlignment="1">
      <alignment horizontal="center" vertical="center" wrapText="1"/>
    </xf>
    <xf numFmtId="0" fontId="7" fillId="19" borderId="1" xfId="0" applyFont="1" applyFill="1" applyBorder="1" applyAlignment="1">
      <alignment horizontal="left" vertical="top" wrapText="1" indent="1"/>
    </xf>
    <xf numFmtId="0" fontId="0" fillId="0" borderId="0" xfId="0"/>
    <xf numFmtId="0" fontId="1" fillId="2" borderId="0" xfId="0" applyFont="1" applyFill="1" applyAlignment="1">
      <alignment horizontal="center" vertical="center"/>
    </xf>
    <xf numFmtId="0" fontId="15" fillId="0" borderId="0" xfId="0" applyFont="1" applyAlignment="1">
      <alignment horizontal="left" vertical="center"/>
    </xf>
    <xf numFmtId="0" fontId="6" fillId="9" borderId="0" xfId="0" applyFont="1" applyFill="1" applyAlignment="1">
      <alignment horizontal="left" vertical="center" indent="1"/>
    </xf>
    <xf numFmtId="0" fontId="12" fillId="0" borderId="0" xfId="0" applyFont="1" applyAlignment="1">
      <alignment horizontal="left" vertical="center"/>
    </xf>
    <xf numFmtId="0" fontId="2" fillId="3" borderId="0" xfId="0" applyFont="1" applyFill="1" applyAlignment="1">
      <alignment horizontal="center" vertical="center"/>
    </xf>
    <xf numFmtId="0" fontId="14" fillId="9" borderId="0" xfId="0" applyFont="1" applyFill="1" applyAlignment="1">
      <alignment horizontal="left" vertical="center" indent="1"/>
    </xf>
    <xf numFmtId="0" fontId="18" fillId="12" borderId="1" xfId="0" applyFont="1" applyFill="1" applyBorder="1" applyAlignment="1">
      <alignment horizontal="left" vertical="center" indent="1"/>
    </xf>
    <xf numFmtId="0" fontId="3" fillId="4" borderId="2" xfId="0" applyFont="1" applyFill="1" applyBorder="1" applyAlignment="1">
      <alignment horizontal="center" vertical="center" wrapText="1"/>
    </xf>
    <xf numFmtId="0" fontId="0" fillId="0" borderId="3" xfId="0" applyBorder="1"/>
    <xf numFmtId="0" fontId="3" fillId="5"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1" fillId="8" borderId="2" xfId="0" applyFont="1" applyFill="1" applyBorder="1" applyAlignment="1">
      <alignment horizontal="center" vertical="center" wrapText="1"/>
    </xf>
    <xf numFmtId="0" fontId="17" fillId="15"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tabSelected="1" topLeftCell="A11" workbookViewId="0">
      <selection activeCell="A19" sqref="A19:XFD19"/>
    </sheetView>
  </sheetViews>
  <sheetFormatPr baseColWidth="10" defaultColWidth="9.140625" defaultRowHeight="15" x14ac:dyDescent="0.25"/>
  <cols>
    <col min="1" max="1" width="28" customWidth="1"/>
    <col min="2" max="3" width="10" customWidth="1"/>
    <col min="4" max="5" width="9" customWidth="1"/>
    <col min="6" max="8" width="10" customWidth="1"/>
    <col min="9" max="10" width="9" customWidth="1"/>
    <col min="11" max="11" width="10" customWidth="1"/>
    <col min="12" max="12" width="11" customWidth="1"/>
  </cols>
  <sheetData>
    <row r="1" spans="1:12" ht="30" customHeight="1" x14ac:dyDescent="0.25">
      <c r="A1" s="60" t="s">
        <v>0</v>
      </c>
      <c r="B1" s="59"/>
      <c r="C1" s="59"/>
      <c r="D1" s="59"/>
      <c r="E1" s="59"/>
      <c r="F1" s="59"/>
      <c r="G1" s="59"/>
      <c r="H1" s="59"/>
      <c r="I1" s="59"/>
      <c r="J1" s="59"/>
    </row>
    <row r="2" spans="1:12" ht="8.1" customHeight="1" thickBot="1" x14ac:dyDescent="0.3"/>
    <row r="3" spans="1:12" ht="129" customHeight="1" thickBot="1" x14ac:dyDescent="0.3">
      <c r="A3" s="67" t="s">
        <v>1</v>
      </c>
      <c r="B3" s="68"/>
      <c r="C3" s="69" t="s">
        <v>2</v>
      </c>
      <c r="D3" s="68"/>
      <c r="E3" s="70" t="s">
        <v>3</v>
      </c>
      <c r="F3" s="68"/>
      <c r="G3" s="71" t="s">
        <v>4</v>
      </c>
      <c r="H3" s="68"/>
    </row>
    <row r="4" spans="1:12" ht="66.75" customHeight="1" thickBot="1" x14ac:dyDescent="0.3">
      <c r="A4" s="71" t="s">
        <v>5</v>
      </c>
      <c r="B4" s="68"/>
      <c r="C4" s="72" t="s">
        <v>6</v>
      </c>
      <c r="D4" s="68"/>
      <c r="E4" s="73" t="s">
        <v>7</v>
      </c>
      <c r="F4" s="68"/>
      <c r="G4" s="73" t="s">
        <v>8</v>
      </c>
      <c r="H4" s="68"/>
    </row>
    <row r="5" spans="1:12" ht="9.9499999999999993" customHeight="1" x14ac:dyDescent="0.25"/>
    <row r="6" spans="1:12" ht="21.95" customHeight="1" x14ac:dyDescent="0.25">
      <c r="A6" s="62" t="s">
        <v>9</v>
      </c>
      <c r="B6" s="59"/>
      <c r="C6" s="59"/>
      <c r="D6" s="59"/>
      <c r="E6" s="59"/>
      <c r="F6" s="59"/>
      <c r="G6" s="59"/>
      <c r="H6" s="59"/>
      <c r="I6" s="59"/>
      <c r="J6" s="59"/>
      <c r="K6" s="59"/>
      <c r="L6" s="59"/>
    </row>
    <row r="7" spans="1:12" ht="30" customHeight="1" x14ac:dyDescent="0.25">
      <c r="A7" s="1" t="s">
        <v>10</v>
      </c>
      <c r="B7" s="2" t="s">
        <v>11</v>
      </c>
      <c r="C7" s="2" t="s">
        <v>12</v>
      </c>
      <c r="D7" s="2" t="s">
        <v>13</v>
      </c>
      <c r="E7" s="2" t="s">
        <v>14</v>
      </c>
      <c r="F7" s="2" t="s">
        <v>15</v>
      </c>
      <c r="G7" s="3" t="s">
        <v>16</v>
      </c>
      <c r="H7" s="3" t="s">
        <v>17</v>
      </c>
      <c r="I7" s="3" t="s">
        <v>18</v>
      </c>
      <c r="J7" s="3" t="s">
        <v>19</v>
      </c>
      <c r="K7" s="3" t="s">
        <v>20</v>
      </c>
      <c r="L7" s="1" t="s">
        <v>21</v>
      </c>
    </row>
    <row r="8" spans="1:12" ht="20.100000000000001" customHeight="1" x14ac:dyDescent="0.25">
      <c r="A8" s="4" t="s">
        <v>22</v>
      </c>
      <c r="B8" s="5">
        <v>2</v>
      </c>
      <c r="C8" s="5">
        <v>4</v>
      </c>
      <c r="D8" s="6">
        <v>3</v>
      </c>
      <c r="E8" s="7">
        <v>0</v>
      </c>
      <c r="F8" s="8">
        <f>(D8-E8)/C8</f>
        <v>0.75</v>
      </c>
      <c r="G8" s="5">
        <v>3</v>
      </c>
      <c r="H8" s="5">
        <v>3</v>
      </c>
      <c r="I8" s="6">
        <v>3</v>
      </c>
      <c r="J8" s="7">
        <v>0</v>
      </c>
      <c r="K8" s="8">
        <f t="shared" ref="K8:K16" si="0">(I8-J8)/H8</f>
        <v>1</v>
      </c>
      <c r="L8" s="8">
        <f>K8-F8</f>
        <v>0.25</v>
      </c>
    </row>
    <row r="9" spans="1:12" ht="20.100000000000001" customHeight="1" x14ac:dyDescent="0.25">
      <c r="A9" s="9" t="s">
        <v>23</v>
      </c>
      <c r="B9" s="10">
        <v>1</v>
      </c>
      <c r="C9" s="10">
        <v>1</v>
      </c>
      <c r="D9" s="11">
        <v>0</v>
      </c>
      <c r="E9" s="12">
        <v>0</v>
      </c>
      <c r="F9" s="13">
        <f>(D9-E9)/C9</f>
        <v>0</v>
      </c>
      <c r="G9" s="10">
        <v>3</v>
      </c>
      <c r="H9" s="10">
        <v>15</v>
      </c>
      <c r="I9" s="11">
        <v>14</v>
      </c>
      <c r="J9" s="12">
        <v>0</v>
      </c>
      <c r="K9" s="13">
        <f t="shared" si="0"/>
        <v>0.93333333333333335</v>
      </c>
      <c r="L9" s="13">
        <f>K9-F9</f>
        <v>0.93333333333333335</v>
      </c>
    </row>
    <row r="10" spans="1:12" ht="20.100000000000001" customHeight="1" x14ac:dyDescent="0.25">
      <c r="A10" s="4" t="s">
        <v>24</v>
      </c>
      <c r="B10" s="14" t="s">
        <v>25</v>
      </c>
      <c r="C10" s="15" t="s">
        <v>26</v>
      </c>
      <c r="D10" s="15" t="s">
        <v>26</v>
      </c>
      <c r="E10" s="15" t="s">
        <v>26</v>
      </c>
      <c r="F10" s="15" t="s">
        <v>26</v>
      </c>
      <c r="G10" s="5">
        <v>3</v>
      </c>
      <c r="H10" s="5">
        <v>16</v>
      </c>
      <c r="I10" s="6">
        <v>13</v>
      </c>
      <c r="J10" s="7">
        <v>1</v>
      </c>
      <c r="K10" s="8">
        <f t="shared" si="0"/>
        <v>0.75</v>
      </c>
      <c r="L10" s="16" t="s">
        <v>27</v>
      </c>
    </row>
    <row r="11" spans="1:12" ht="20.100000000000001" customHeight="1" x14ac:dyDescent="0.25">
      <c r="A11" s="9" t="s">
        <v>28</v>
      </c>
      <c r="B11" s="10">
        <v>8</v>
      </c>
      <c r="C11" s="10">
        <v>84</v>
      </c>
      <c r="D11" s="11">
        <v>76</v>
      </c>
      <c r="E11" s="12">
        <v>3</v>
      </c>
      <c r="F11" s="13">
        <f t="shared" ref="F11:F16" si="1">(D11-E11)/C11</f>
        <v>0.86904761904761907</v>
      </c>
      <c r="G11" s="10">
        <v>6</v>
      </c>
      <c r="H11" s="10">
        <v>45</v>
      </c>
      <c r="I11" s="11">
        <v>40</v>
      </c>
      <c r="J11" s="12">
        <v>4</v>
      </c>
      <c r="K11" s="13">
        <f t="shared" si="0"/>
        <v>0.8</v>
      </c>
      <c r="L11" s="17">
        <f t="shared" ref="L11:L16" si="2">K11-F11</f>
        <v>-6.9047619047619024E-2</v>
      </c>
    </row>
    <row r="12" spans="1:12" ht="20.100000000000001" customHeight="1" x14ac:dyDescent="0.25">
      <c r="A12" s="4" t="s">
        <v>29</v>
      </c>
      <c r="B12" s="5">
        <v>7</v>
      </c>
      <c r="C12" s="5">
        <v>26</v>
      </c>
      <c r="D12" s="6">
        <v>19</v>
      </c>
      <c r="E12" s="7">
        <v>4</v>
      </c>
      <c r="F12" s="8">
        <f t="shared" si="1"/>
        <v>0.57692307692307687</v>
      </c>
      <c r="G12" s="5">
        <v>7</v>
      </c>
      <c r="H12" s="5">
        <v>28</v>
      </c>
      <c r="I12" s="6">
        <v>24</v>
      </c>
      <c r="J12" s="7">
        <v>1</v>
      </c>
      <c r="K12" s="8">
        <f t="shared" si="0"/>
        <v>0.8214285714285714</v>
      </c>
      <c r="L12" s="8">
        <f t="shared" si="2"/>
        <v>0.24450549450549453</v>
      </c>
    </row>
    <row r="13" spans="1:12" ht="20.100000000000001" customHeight="1" x14ac:dyDescent="0.25">
      <c r="A13" s="9" t="s">
        <v>30</v>
      </c>
      <c r="B13" s="10">
        <v>11</v>
      </c>
      <c r="C13" s="10">
        <v>118</v>
      </c>
      <c r="D13" s="11">
        <v>95</v>
      </c>
      <c r="E13" s="12">
        <v>10</v>
      </c>
      <c r="F13" s="13">
        <f t="shared" si="1"/>
        <v>0.72033898305084743</v>
      </c>
      <c r="G13" s="10">
        <v>12</v>
      </c>
      <c r="H13" s="10">
        <v>51</v>
      </c>
      <c r="I13" s="11">
        <v>37</v>
      </c>
      <c r="J13" s="12">
        <v>4</v>
      </c>
      <c r="K13" s="13">
        <f t="shared" si="0"/>
        <v>0.6470588235294118</v>
      </c>
      <c r="L13" s="17">
        <f t="shared" si="2"/>
        <v>-7.3280159521435628E-2</v>
      </c>
    </row>
    <row r="14" spans="1:12" ht="20.100000000000001" customHeight="1" x14ac:dyDescent="0.25">
      <c r="A14" s="4" t="s">
        <v>31</v>
      </c>
      <c r="B14" s="5">
        <v>6</v>
      </c>
      <c r="C14" s="5">
        <v>28</v>
      </c>
      <c r="D14" s="6">
        <v>20</v>
      </c>
      <c r="E14" s="7">
        <v>4</v>
      </c>
      <c r="F14" s="8">
        <f t="shared" si="1"/>
        <v>0.5714285714285714</v>
      </c>
      <c r="G14" s="5">
        <v>6</v>
      </c>
      <c r="H14" s="5">
        <v>22</v>
      </c>
      <c r="I14" s="6">
        <v>14</v>
      </c>
      <c r="J14" s="7">
        <v>3</v>
      </c>
      <c r="K14" s="8">
        <f t="shared" si="0"/>
        <v>0.5</v>
      </c>
      <c r="L14" s="18">
        <f t="shared" si="2"/>
        <v>-7.1428571428571397E-2</v>
      </c>
    </row>
    <row r="15" spans="1:12" ht="20.100000000000001" customHeight="1" x14ac:dyDescent="0.25">
      <c r="A15" s="9" t="s">
        <v>32</v>
      </c>
      <c r="B15" s="10">
        <v>11</v>
      </c>
      <c r="C15" s="10">
        <v>91</v>
      </c>
      <c r="D15" s="11">
        <v>69</v>
      </c>
      <c r="E15" s="12">
        <v>8</v>
      </c>
      <c r="F15" s="13">
        <f t="shared" si="1"/>
        <v>0.67032967032967028</v>
      </c>
      <c r="G15" s="10">
        <v>10</v>
      </c>
      <c r="H15" s="10">
        <v>60</v>
      </c>
      <c r="I15" s="11">
        <v>43</v>
      </c>
      <c r="J15" s="12">
        <v>10</v>
      </c>
      <c r="K15" s="13">
        <f t="shared" si="0"/>
        <v>0.55000000000000004</v>
      </c>
      <c r="L15" s="17">
        <f t="shared" si="2"/>
        <v>-0.12032967032967024</v>
      </c>
    </row>
    <row r="16" spans="1:12" ht="20.100000000000001" customHeight="1" x14ac:dyDescent="0.25">
      <c r="A16" s="19" t="s">
        <v>33</v>
      </c>
      <c r="B16" s="20">
        <v>46</v>
      </c>
      <c r="C16" s="20">
        <f>C8+C9+C11+C12+C13+C14+C15</f>
        <v>352</v>
      </c>
      <c r="D16" s="20">
        <f>D8+D9+D11+D12+D13+D14+D15</f>
        <v>282</v>
      </c>
      <c r="E16" s="20">
        <f>E8+E9+E11+E12+E13+E14+E15</f>
        <v>29</v>
      </c>
      <c r="F16" s="21">
        <f t="shared" si="1"/>
        <v>0.71875</v>
      </c>
      <c r="G16" s="20">
        <v>50</v>
      </c>
      <c r="H16" s="20">
        <f>H8+H9+H10+H11+H12+H13+H14+H15</f>
        <v>240</v>
      </c>
      <c r="I16" s="20">
        <f>I8+I9+I10+I11+I12+I13+I14+I15</f>
        <v>188</v>
      </c>
      <c r="J16" s="20">
        <f>J8+J9+J10+J11+J12+J13+J14+J15</f>
        <v>23</v>
      </c>
      <c r="K16" s="21">
        <f t="shared" si="0"/>
        <v>0.6875</v>
      </c>
      <c r="L16" s="21">
        <f t="shared" si="2"/>
        <v>-3.125E-2</v>
      </c>
    </row>
    <row r="18" spans="1:12" ht="15.95" customHeight="1" x14ac:dyDescent="0.25">
      <c r="A18" s="63" t="s">
        <v>34</v>
      </c>
      <c r="B18" s="59"/>
      <c r="C18" s="59"/>
      <c r="D18" s="59"/>
      <c r="E18" s="59"/>
      <c r="F18" s="59"/>
      <c r="G18" s="59"/>
      <c r="H18" s="59"/>
      <c r="I18" s="59"/>
      <c r="J18" s="59"/>
      <c r="K18" s="59"/>
      <c r="L18" s="59"/>
    </row>
  </sheetData>
  <mergeCells count="11">
    <mergeCell ref="A3:B3"/>
    <mergeCell ref="G3:H3"/>
    <mergeCell ref="A1:J1"/>
    <mergeCell ref="E3:F3"/>
    <mergeCell ref="A6:L6"/>
    <mergeCell ref="A18:L18"/>
    <mergeCell ref="C4:D4"/>
    <mergeCell ref="A4:B4"/>
    <mergeCell ref="G4:H4"/>
    <mergeCell ref="E4:F4"/>
    <mergeCell ref="C3:D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7"/>
  <sheetViews>
    <sheetView showGridLines="0" workbookViewId="0">
      <pane ySplit="4" topLeftCell="A5" activePane="bottomLeft" state="frozen"/>
      <selection pane="bottomLeft" activeCell="N11" sqref="N11"/>
    </sheetView>
  </sheetViews>
  <sheetFormatPr baseColWidth="10" defaultColWidth="9.140625" defaultRowHeight="15" x14ac:dyDescent="0.25"/>
  <cols>
    <col min="1" max="1" width="28" customWidth="1"/>
    <col min="2" max="2" width="50" customWidth="1"/>
    <col min="3" max="4" width="10" customWidth="1"/>
    <col min="5" max="5" width="9" customWidth="1"/>
    <col min="6" max="7" width="10" customWidth="1"/>
    <col min="8" max="8" width="9" customWidth="1"/>
  </cols>
  <sheetData>
    <row r="1" spans="1:8" ht="30" customHeight="1" x14ac:dyDescent="0.25">
      <c r="A1" s="60" t="s">
        <v>35</v>
      </c>
      <c r="B1" s="59"/>
      <c r="C1" s="59"/>
      <c r="D1" s="59"/>
      <c r="E1" s="59"/>
      <c r="F1" s="59"/>
      <c r="G1" s="59"/>
      <c r="H1" s="59"/>
    </row>
    <row r="2" spans="1:8" ht="18" customHeight="1" x14ac:dyDescent="0.25">
      <c r="A2" s="64" t="s">
        <v>36</v>
      </c>
      <c r="B2" s="59"/>
      <c r="C2" s="59"/>
      <c r="D2" s="59"/>
      <c r="E2" s="59"/>
      <c r="F2" s="59"/>
      <c r="G2" s="59"/>
      <c r="H2" s="59"/>
    </row>
    <row r="3" spans="1:8" ht="8.1" customHeight="1" x14ac:dyDescent="0.25"/>
    <row r="4" spans="1:8" ht="27.95" customHeight="1" x14ac:dyDescent="0.25">
      <c r="A4" s="2" t="s">
        <v>10</v>
      </c>
      <c r="B4" s="2" t="s">
        <v>37</v>
      </c>
      <c r="C4" s="2" t="s">
        <v>38</v>
      </c>
      <c r="D4" s="2" t="s">
        <v>39</v>
      </c>
      <c r="E4" s="2" t="s">
        <v>40</v>
      </c>
      <c r="F4" s="2" t="s">
        <v>41</v>
      </c>
      <c r="G4" s="2" t="s">
        <v>42</v>
      </c>
      <c r="H4" s="2" t="s">
        <v>43</v>
      </c>
    </row>
    <row r="5" spans="1:8" x14ac:dyDescent="0.25">
      <c r="A5" s="65" t="s">
        <v>44</v>
      </c>
      <c r="B5" s="59"/>
      <c r="C5" s="59"/>
      <c r="D5" s="59"/>
      <c r="E5" s="59"/>
      <c r="F5" s="59"/>
      <c r="G5" s="59"/>
      <c r="H5" s="59"/>
    </row>
    <row r="6" spans="1:8" ht="21.95" customHeight="1" x14ac:dyDescent="0.25">
      <c r="A6" s="22" t="s">
        <v>22</v>
      </c>
      <c r="B6" s="23" t="s">
        <v>45</v>
      </c>
      <c r="C6" s="24">
        <v>4</v>
      </c>
      <c r="D6" s="25">
        <v>3</v>
      </c>
      <c r="E6" s="24">
        <v>1</v>
      </c>
      <c r="F6" s="26">
        <v>0</v>
      </c>
      <c r="G6" s="27">
        <f>D6/C6</f>
        <v>0.75</v>
      </c>
      <c r="H6" s="28">
        <f>(D6-F6)/C6</f>
        <v>0.75</v>
      </c>
    </row>
    <row r="7" spans="1:8" ht="20.100000000000001" customHeight="1" x14ac:dyDescent="0.25">
      <c r="A7" s="29" t="s">
        <v>22</v>
      </c>
      <c r="B7" s="30" t="s">
        <v>46</v>
      </c>
      <c r="C7" s="74" t="s">
        <v>47</v>
      </c>
      <c r="D7" s="31"/>
      <c r="E7" s="31"/>
      <c r="F7" s="31"/>
      <c r="G7" s="31"/>
      <c r="H7" s="31" t="s">
        <v>26</v>
      </c>
    </row>
    <row r="8" spans="1:8" ht="6" customHeight="1" x14ac:dyDescent="0.25"/>
    <row r="9" spans="1:8" ht="20.100000000000001" customHeight="1" x14ac:dyDescent="0.25">
      <c r="A9" s="65" t="s">
        <v>48</v>
      </c>
      <c r="B9" s="59"/>
      <c r="C9" s="59"/>
      <c r="D9" s="59"/>
      <c r="E9" s="59"/>
      <c r="F9" s="59"/>
      <c r="G9" s="59"/>
      <c r="H9" s="59"/>
    </row>
    <row r="10" spans="1:8" ht="21.95" customHeight="1" x14ac:dyDescent="0.25">
      <c r="A10" s="22" t="s">
        <v>23</v>
      </c>
      <c r="B10" s="23" t="s">
        <v>49</v>
      </c>
      <c r="C10" s="24">
        <v>1</v>
      </c>
      <c r="D10" s="25">
        <v>0</v>
      </c>
      <c r="E10" s="24">
        <v>1</v>
      </c>
      <c r="F10" s="26">
        <v>0</v>
      </c>
      <c r="G10" s="27">
        <f>D10/C10</f>
        <v>0</v>
      </c>
      <c r="H10" s="28">
        <f>(D10-F10)/C10</f>
        <v>0</v>
      </c>
    </row>
    <row r="11" spans="1:8" ht="6" customHeight="1" x14ac:dyDescent="0.25"/>
    <row r="12" spans="1:8" ht="20.100000000000001" customHeight="1" x14ac:dyDescent="0.25">
      <c r="A12" s="66" t="s">
        <v>50</v>
      </c>
      <c r="B12" s="59"/>
      <c r="C12" s="59"/>
      <c r="D12" s="59"/>
      <c r="E12" s="59"/>
      <c r="F12" s="59"/>
      <c r="G12" s="59"/>
      <c r="H12" s="59"/>
    </row>
    <row r="13" spans="1:8" ht="20.100000000000001" customHeight="1" x14ac:dyDescent="0.25">
      <c r="A13" s="65" t="s">
        <v>51</v>
      </c>
      <c r="B13" s="59"/>
      <c r="C13" s="59"/>
      <c r="D13" s="59"/>
      <c r="E13" s="59"/>
      <c r="F13" s="59"/>
      <c r="G13" s="59"/>
      <c r="H13" s="59"/>
    </row>
    <row r="14" spans="1:8" ht="25.5" x14ac:dyDescent="0.25">
      <c r="A14" s="22" t="s">
        <v>28</v>
      </c>
      <c r="B14" s="23" t="s">
        <v>52</v>
      </c>
      <c r="C14" s="24">
        <v>26</v>
      </c>
      <c r="D14" s="25">
        <v>26</v>
      </c>
      <c r="E14" s="24">
        <v>0</v>
      </c>
      <c r="F14" s="26">
        <v>0</v>
      </c>
      <c r="G14" s="27">
        <f t="shared" ref="G14:G21" si="0">D14/C14</f>
        <v>1</v>
      </c>
      <c r="H14" s="28">
        <f t="shared" ref="H14:H21" si="1">(D14-F14)/C14</f>
        <v>1</v>
      </c>
    </row>
    <row r="15" spans="1:8" ht="25.5" x14ac:dyDescent="0.25">
      <c r="A15" s="9" t="s">
        <v>28</v>
      </c>
      <c r="B15" s="32" t="s">
        <v>53</v>
      </c>
      <c r="C15" s="33">
        <v>14</v>
      </c>
      <c r="D15" s="11">
        <v>13</v>
      </c>
      <c r="E15" s="33">
        <v>1</v>
      </c>
      <c r="F15" s="12">
        <v>0</v>
      </c>
      <c r="G15" s="34">
        <f t="shared" si="0"/>
        <v>0.9285714285714286</v>
      </c>
      <c r="H15" s="13">
        <f t="shared" si="1"/>
        <v>0.9285714285714286</v>
      </c>
    </row>
    <row r="16" spans="1:8" ht="25.5" x14ac:dyDescent="0.25">
      <c r="A16" s="22" t="s">
        <v>28</v>
      </c>
      <c r="B16" s="23" t="s">
        <v>54</v>
      </c>
      <c r="C16" s="24">
        <v>10</v>
      </c>
      <c r="D16" s="25">
        <v>9</v>
      </c>
      <c r="E16" s="24">
        <v>1</v>
      </c>
      <c r="F16" s="26">
        <v>0</v>
      </c>
      <c r="G16" s="27">
        <f t="shared" si="0"/>
        <v>0.9</v>
      </c>
      <c r="H16" s="28">
        <f t="shared" si="1"/>
        <v>0.9</v>
      </c>
    </row>
    <row r="17" spans="1:8" ht="25.5" x14ac:dyDescent="0.25">
      <c r="A17" s="9" t="s">
        <v>28</v>
      </c>
      <c r="B17" s="32" t="s">
        <v>55</v>
      </c>
      <c r="C17" s="33">
        <v>10</v>
      </c>
      <c r="D17" s="11">
        <v>9</v>
      </c>
      <c r="E17" s="33">
        <v>1</v>
      </c>
      <c r="F17" s="12">
        <v>0</v>
      </c>
      <c r="G17" s="34">
        <f t="shared" si="0"/>
        <v>0.9</v>
      </c>
      <c r="H17" s="13">
        <f t="shared" si="1"/>
        <v>0.9</v>
      </c>
    </row>
    <row r="18" spans="1:8" ht="25.5" x14ac:dyDescent="0.25">
      <c r="A18" s="22" t="s">
        <v>28</v>
      </c>
      <c r="B18" s="23" t="s">
        <v>56</v>
      </c>
      <c r="C18" s="24">
        <v>7</v>
      </c>
      <c r="D18" s="25">
        <v>6</v>
      </c>
      <c r="E18" s="24">
        <v>1</v>
      </c>
      <c r="F18" s="26">
        <v>0</v>
      </c>
      <c r="G18" s="27">
        <f t="shared" si="0"/>
        <v>0.8571428571428571</v>
      </c>
      <c r="H18" s="28">
        <f t="shared" si="1"/>
        <v>0.8571428571428571</v>
      </c>
    </row>
    <row r="19" spans="1:8" ht="25.5" x14ac:dyDescent="0.25">
      <c r="A19" s="9" t="s">
        <v>28</v>
      </c>
      <c r="B19" s="32" t="s">
        <v>57</v>
      </c>
      <c r="C19" s="33">
        <v>5</v>
      </c>
      <c r="D19" s="11">
        <v>4</v>
      </c>
      <c r="E19" s="33">
        <v>1</v>
      </c>
      <c r="F19" s="12">
        <v>0</v>
      </c>
      <c r="G19" s="34">
        <f t="shared" si="0"/>
        <v>0.8</v>
      </c>
      <c r="H19" s="13">
        <f t="shared" si="1"/>
        <v>0.8</v>
      </c>
    </row>
    <row r="20" spans="1:8" ht="25.5" x14ac:dyDescent="0.25">
      <c r="A20" s="22" t="s">
        <v>28</v>
      </c>
      <c r="B20" s="23" t="s">
        <v>58</v>
      </c>
      <c r="C20" s="24">
        <v>6</v>
      </c>
      <c r="D20" s="25">
        <v>5</v>
      </c>
      <c r="E20" s="24">
        <v>0</v>
      </c>
      <c r="F20" s="26">
        <v>1</v>
      </c>
      <c r="G20" s="27">
        <f t="shared" si="0"/>
        <v>0.83333333333333337</v>
      </c>
      <c r="H20" s="28">
        <f t="shared" si="1"/>
        <v>0.66666666666666663</v>
      </c>
    </row>
    <row r="21" spans="1:8" x14ac:dyDescent="0.25">
      <c r="A21" s="9" t="s">
        <v>28</v>
      </c>
      <c r="B21" s="32" t="s">
        <v>59</v>
      </c>
      <c r="C21" s="33">
        <v>6</v>
      </c>
      <c r="D21" s="11">
        <v>4</v>
      </c>
      <c r="E21" s="33">
        <v>0</v>
      </c>
      <c r="F21" s="12">
        <v>2</v>
      </c>
      <c r="G21" s="34">
        <f t="shared" si="0"/>
        <v>0.66666666666666663</v>
      </c>
      <c r="H21" s="13">
        <f t="shared" si="1"/>
        <v>0.33333333333333331</v>
      </c>
    </row>
    <row r="22" spans="1:8" ht="6" customHeight="1" x14ac:dyDescent="0.25"/>
    <row r="23" spans="1:8" ht="20.100000000000001" customHeight="1" x14ac:dyDescent="0.25">
      <c r="A23" s="65" t="s">
        <v>60</v>
      </c>
      <c r="B23" s="59"/>
      <c r="C23" s="59"/>
      <c r="D23" s="59"/>
      <c r="E23" s="59"/>
      <c r="F23" s="59"/>
      <c r="G23" s="59"/>
      <c r="H23" s="59"/>
    </row>
    <row r="24" spans="1:8" ht="25.5" x14ac:dyDescent="0.25">
      <c r="A24" s="22" t="s">
        <v>29</v>
      </c>
      <c r="B24" s="23" t="s">
        <v>61</v>
      </c>
      <c r="C24" s="24">
        <v>1</v>
      </c>
      <c r="D24" s="25">
        <v>1</v>
      </c>
      <c r="E24" s="24">
        <v>0</v>
      </c>
      <c r="F24" s="26">
        <v>0</v>
      </c>
      <c r="G24" s="27">
        <f t="shared" ref="G24:G30" si="2">D24/C24</f>
        <v>1</v>
      </c>
      <c r="H24" s="28">
        <f t="shared" ref="H24:H30" si="3">(D24-F24)/C24</f>
        <v>1</v>
      </c>
    </row>
    <row r="25" spans="1:8" x14ac:dyDescent="0.25">
      <c r="A25" s="9" t="s">
        <v>29</v>
      </c>
      <c r="B25" s="32" t="s">
        <v>62</v>
      </c>
      <c r="C25" s="33">
        <v>1</v>
      </c>
      <c r="D25" s="11">
        <v>1</v>
      </c>
      <c r="E25" s="33">
        <v>0</v>
      </c>
      <c r="F25" s="12">
        <v>0</v>
      </c>
      <c r="G25" s="34">
        <f t="shared" si="2"/>
        <v>1</v>
      </c>
      <c r="H25" s="13">
        <f t="shared" si="3"/>
        <v>1</v>
      </c>
    </row>
    <row r="26" spans="1:8" ht="25.5" x14ac:dyDescent="0.25">
      <c r="A26" s="22" t="s">
        <v>29</v>
      </c>
      <c r="B26" s="23" t="s">
        <v>63</v>
      </c>
      <c r="C26" s="24">
        <v>4</v>
      </c>
      <c r="D26" s="25">
        <v>4</v>
      </c>
      <c r="E26" s="24">
        <v>0</v>
      </c>
      <c r="F26" s="26">
        <v>0</v>
      </c>
      <c r="G26" s="27">
        <f t="shared" si="2"/>
        <v>1</v>
      </c>
      <c r="H26" s="28">
        <f t="shared" si="3"/>
        <v>1</v>
      </c>
    </row>
    <row r="27" spans="1:8" ht="25.5" x14ac:dyDescent="0.25">
      <c r="A27" s="9" t="s">
        <v>29</v>
      </c>
      <c r="B27" s="32" t="s">
        <v>64</v>
      </c>
      <c r="C27" s="33">
        <v>11</v>
      </c>
      <c r="D27" s="11">
        <v>10</v>
      </c>
      <c r="E27" s="33">
        <v>1</v>
      </c>
      <c r="F27" s="12">
        <v>0</v>
      </c>
      <c r="G27" s="34">
        <f t="shared" si="2"/>
        <v>0.90909090909090906</v>
      </c>
      <c r="H27" s="13">
        <f t="shared" si="3"/>
        <v>0.90909090909090906</v>
      </c>
    </row>
    <row r="28" spans="1:8" ht="25.5" x14ac:dyDescent="0.25">
      <c r="A28" s="22" t="s">
        <v>29</v>
      </c>
      <c r="B28" s="23" t="s">
        <v>65</v>
      </c>
      <c r="C28" s="24">
        <v>5</v>
      </c>
      <c r="D28" s="25">
        <v>2</v>
      </c>
      <c r="E28" s="24">
        <v>2</v>
      </c>
      <c r="F28" s="26">
        <v>1</v>
      </c>
      <c r="G28" s="27">
        <f t="shared" si="2"/>
        <v>0.4</v>
      </c>
      <c r="H28" s="28">
        <f t="shared" si="3"/>
        <v>0.2</v>
      </c>
    </row>
    <row r="29" spans="1:8" ht="25.5" x14ac:dyDescent="0.25">
      <c r="A29" s="9" t="s">
        <v>29</v>
      </c>
      <c r="B29" s="32" t="s">
        <v>66</v>
      </c>
      <c r="C29" s="33">
        <v>3</v>
      </c>
      <c r="D29" s="11">
        <v>1</v>
      </c>
      <c r="E29" s="33">
        <v>0</v>
      </c>
      <c r="F29" s="12">
        <v>2</v>
      </c>
      <c r="G29" s="34">
        <f t="shared" si="2"/>
        <v>0.33333333333333331</v>
      </c>
      <c r="H29" s="17">
        <f t="shared" si="3"/>
        <v>-0.33333333333333331</v>
      </c>
    </row>
    <row r="30" spans="1:8" x14ac:dyDescent="0.25">
      <c r="A30" s="22" t="s">
        <v>29</v>
      </c>
      <c r="B30" s="23" t="s">
        <v>67</v>
      </c>
      <c r="C30" s="24">
        <v>1</v>
      </c>
      <c r="D30" s="25">
        <v>0</v>
      </c>
      <c r="E30" s="24">
        <v>0</v>
      </c>
      <c r="F30" s="26">
        <v>1</v>
      </c>
      <c r="G30" s="27">
        <f t="shared" si="2"/>
        <v>0</v>
      </c>
      <c r="H30" s="35">
        <f t="shared" si="3"/>
        <v>-1</v>
      </c>
    </row>
    <row r="31" spans="1:8" ht="6" customHeight="1" x14ac:dyDescent="0.25"/>
    <row r="32" spans="1:8" ht="20.100000000000001" customHeight="1" x14ac:dyDescent="0.25">
      <c r="A32" s="65" t="s">
        <v>68</v>
      </c>
      <c r="B32" s="59"/>
      <c r="C32" s="59"/>
      <c r="D32" s="59"/>
      <c r="E32" s="59"/>
      <c r="F32" s="59"/>
      <c r="G32" s="59"/>
      <c r="H32" s="59"/>
    </row>
    <row r="33" spans="1:8" x14ac:dyDescent="0.25">
      <c r="A33" s="22" t="s">
        <v>30</v>
      </c>
      <c r="B33" s="23" t="s">
        <v>69</v>
      </c>
      <c r="C33" s="24">
        <v>9</v>
      </c>
      <c r="D33" s="25">
        <v>9</v>
      </c>
      <c r="E33" s="24">
        <v>0</v>
      </c>
      <c r="F33" s="26">
        <v>0</v>
      </c>
      <c r="G33" s="27">
        <f t="shared" ref="G33:G43" si="4">D33/C33</f>
        <v>1</v>
      </c>
      <c r="H33" s="28">
        <f t="shared" ref="H33:H43" si="5">(D33-F33)/C33</f>
        <v>1</v>
      </c>
    </row>
    <row r="34" spans="1:8" ht="25.5" x14ac:dyDescent="0.25">
      <c r="A34" s="9" t="s">
        <v>30</v>
      </c>
      <c r="B34" s="32" t="s">
        <v>70</v>
      </c>
      <c r="C34" s="33">
        <v>5</v>
      </c>
      <c r="D34" s="11">
        <v>5</v>
      </c>
      <c r="E34" s="33">
        <v>0</v>
      </c>
      <c r="F34" s="12">
        <v>0</v>
      </c>
      <c r="G34" s="34">
        <f t="shared" si="4"/>
        <v>1</v>
      </c>
      <c r="H34" s="13">
        <f t="shared" si="5"/>
        <v>1</v>
      </c>
    </row>
    <row r="35" spans="1:8" ht="25.5" x14ac:dyDescent="0.25">
      <c r="A35" s="22" t="s">
        <v>30</v>
      </c>
      <c r="B35" s="23" t="s">
        <v>71</v>
      </c>
      <c r="C35" s="24">
        <v>6</v>
      </c>
      <c r="D35" s="25">
        <v>5</v>
      </c>
      <c r="E35" s="24">
        <v>1</v>
      </c>
      <c r="F35" s="26">
        <v>0</v>
      </c>
      <c r="G35" s="27">
        <f t="shared" si="4"/>
        <v>0.83333333333333337</v>
      </c>
      <c r="H35" s="28">
        <f t="shared" si="5"/>
        <v>0.83333333333333337</v>
      </c>
    </row>
    <row r="36" spans="1:8" ht="25.5" x14ac:dyDescent="0.25">
      <c r="A36" s="9" t="s">
        <v>30</v>
      </c>
      <c r="B36" s="32" t="s">
        <v>72</v>
      </c>
      <c r="C36" s="33">
        <v>14</v>
      </c>
      <c r="D36" s="11">
        <v>12</v>
      </c>
      <c r="E36" s="33">
        <v>1</v>
      </c>
      <c r="F36" s="12">
        <v>1</v>
      </c>
      <c r="G36" s="34">
        <f t="shared" si="4"/>
        <v>0.8571428571428571</v>
      </c>
      <c r="H36" s="13">
        <f t="shared" si="5"/>
        <v>0.7857142857142857</v>
      </c>
    </row>
    <row r="37" spans="1:8" x14ac:dyDescent="0.25">
      <c r="A37" s="22" t="s">
        <v>30</v>
      </c>
      <c r="B37" s="23" t="s">
        <v>73</v>
      </c>
      <c r="C37" s="24">
        <v>22</v>
      </c>
      <c r="D37" s="25">
        <v>18</v>
      </c>
      <c r="E37" s="24">
        <v>2</v>
      </c>
      <c r="F37" s="26">
        <v>2</v>
      </c>
      <c r="G37" s="27">
        <f t="shared" si="4"/>
        <v>0.81818181818181823</v>
      </c>
      <c r="H37" s="28">
        <f t="shared" si="5"/>
        <v>0.72727272727272729</v>
      </c>
    </row>
    <row r="38" spans="1:8" x14ac:dyDescent="0.25">
      <c r="A38" s="9" t="s">
        <v>30</v>
      </c>
      <c r="B38" s="32" t="s">
        <v>74</v>
      </c>
      <c r="C38" s="33">
        <v>11</v>
      </c>
      <c r="D38" s="11">
        <v>9</v>
      </c>
      <c r="E38" s="33">
        <v>1</v>
      </c>
      <c r="F38" s="12">
        <v>1</v>
      </c>
      <c r="G38" s="34">
        <f t="shared" si="4"/>
        <v>0.81818181818181823</v>
      </c>
      <c r="H38" s="13">
        <f t="shared" si="5"/>
        <v>0.72727272727272729</v>
      </c>
    </row>
    <row r="39" spans="1:8" x14ac:dyDescent="0.25">
      <c r="A39" s="22" t="s">
        <v>30</v>
      </c>
      <c r="B39" s="23" t="s">
        <v>75</v>
      </c>
      <c r="C39" s="24">
        <v>17</v>
      </c>
      <c r="D39" s="25">
        <v>14</v>
      </c>
      <c r="E39" s="24">
        <v>1</v>
      </c>
      <c r="F39" s="26">
        <v>2</v>
      </c>
      <c r="G39" s="27">
        <f t="shared" si="4"/>
        <v>0.82352941176470584</v>
      </c>
      <c r="H39" s="28">
        <f t="shared" si="5"/>
        <v>0.70588235294117652</v>
      </c>
    </row>
    <row r="40" spans="1:8" ht="38.25" x14ac:dyDescent="0.25">
      <c r="A40" s="9" t="s">
        <v>30</v>
      </c>
      <c r="B40" s="32" t="s">
        <v>76</v>
      </c>
      <c r="C40" s="33">
        <v>7</v>
      </c>
      <c r="D40" s="11">
        <v>6</v>
      </c>
      <c r="E40" s="33">
        <v>0</v>
      </c>
      <c r="F40" s="12">
        <v>1</v>
      </c>
      <c r="G40" s="34">
        <f t="shared" si="4"/>
        <v>0.8571428571428571</v>
      </c>
      <c r="H40" s="13">
        <f t="shared" si="5"/>
        <v>0.7142857142857143</v>
      </c>
    </row>
    <row r="41" spans="1:8" x14ac:dyDescent="0.25">
      <c r="A41" s="22" t="s">
        <v>30</v>
      </c>
      <c r="B41" s="23" t="s">
        <v>77</v>
      </c>
      <c r="C41" s="24">
        <v>12</v>
      </c>
      <c r="D41" s="25">
        <v>8</v>
      </c>
      <c r="E41" s="24">
        <v>4</v>
      </c>
      <c r="F41" s="26">
        <v>0</v>
      </c>
      <c r="G41" s="27">
        <f t="shared" si="4"/>
        <v>0.66666666666666663</v>
      </c>
      <c r="H41" s="28">
        <f t="shared" si="5"/>
        <v>0.66666666666666663</v>
      </c>
    </row>
    <row r="42" spans="1:8" ht="25.5" x14ac:dyDescent="0.25">
      <c r="A42" s="9" t="s">
        <v>30</v>
      </c>
      <c r="B42" s="32" t="s">
        <v>78</v>
      </c>
      <c r="C42" s="33">
        <v>9</v>
      </c>
      <c r="D42" s="11">
        <v>7</v>
      </c>
      <c r="E42" s="33">
        <v>0</v>
      </c>
      <c r="F42" s="12">
        <v>2</v>
      </c>
      <c r="G42" s="34">
        <f t="shared" si="4"/>
        <v>0.77777777777777779</v>
      </c>
      <c r="H42" s="13">
        <f t="shared" si="5"/>
        <v>0.55555555555555558</v>
      </c>
    </row>
    <row r="43" spans="1:8" ht="25.5" x14ac:dyDescent="0.25">
      <c r="A43" s="22" t="s">
        <v>30</v>
      </c>
      <c r="B43" s="23" t="s">
        <v>79</v>
      </c>
      <c r="C43" s="24">
        <v>6</v>
      </c>
      <c r="D43" s="25">
        <v>2</v>
      </c>
      <c r="E43" s="24">
        <v>3</v>
      </c>
      <c r="F43" s="26">
        <v>1</v>
      </c>
      <c r="G43" s="27">
        <f t="shared" si="4"/>
        <v>0.33333333333333331</v>
      </c>
      <c r="H43" s="28">
        <f t="shared" si="5"/>
        <v>0.16666666666666666</v>
      </c>
    </row>
    <row r="44" spans="1:8" ht="6" customHeight="1" x14ac:dyDescent="0.25"/>
    <row r="45" spans="1:8" ht="20.100000000000001" customHeight="1" x14ac:dyDescent="0.25">
      <c r="A45" s="65" t="s">
        <v>80</v>
      </c>
      <c r="B45" s="59"/>
      <c r="C45" s="59"/>
      <c r="D45" s="59"/>
      <c r="E45" s="59"/>
      <c r="F45" s="59"/>
      <c r="G45" s="59"/>
      <c r="H45" s="59"/>
    </row>
    <row r="46" spans="1:8" x14ac:dyDescent="0.25">
      <c r="A46" s="22" t="s">
        <v>31</v>
      </c>
      <c r="B46" s="23" t="s">
        <v>81</v>
      </c>
      <c r="C46" s="24">
        <v>3</v>
      </c>
      <c r="D46" s="25">
        <v>3</v>
      </c>
      <c r="E46" s="24">
        <v>0</v>
      </c>
      <c r="F46" s="26">
        <v>0</v>
      </c>
      <c r="G46" s="27">
        <f>D46/C46</f>
        <v>1</v>
      </c>
      <c r="H46" s="28">
        <f>(D46-F46)/C46</f>
        <v>1</v>
      </c>
    </row>
    <row r="47" spans="1:8" x14ac:dyDescent="0.25">
      <c r="A47" s="9" t="s">
        <v>31</v>
      </c>
      <c r="B47" s="32" t="s">
        <v>82</v>
      </c>
      <c r="C47" s="33">
        <v>1</v>
      </c>
      <c r="D47" s="11">
        <v>1</v>
      </c>
      <c r="E47" s="33">
        <v>0</v>
      </c>
      <c r="F47" s="12">
        <v>0</v>
      </c>
      <c r="G47" s="34">
        <f>D47/C47</f>
        <v>1</v>
      </c>
      <c r="H47" s="13">
        <f>(D47-F47)/C47</f>
        <v>1</v>
      </c>
    </row>
    <row r="48" spans="1:8" x14ac:dyDescent="0.25">
      <c r="A48" s="22" t="s">
        <v>31</v>
      </c>
      <c r="B48" s="23" t="s">
        <v>83</v>
      </c>
      <c r="C48" s="24">
        <v>5</v>
      </c>
      <c r="D48" s="25">
        <v>5</v>
      </c>
      <c r="E48" s="24">
        <v>0</v>
      </c>
      <c r="F48" s="26">
        <v>0</v>
      </c>
      <c r="G48" s="27">
        <f>D48/C48</f>
        <v>1</v>
      </c>
      <c r="H48" s="28">
        <f>(D48-F48)/C48</f>
        <v>1</v>
      </c>
    </row>
    <row r="49" spans="1:8" x14ac:dyDescent="0.25">
      <c r="A49" s="9" t="s">
        <v>31</v>
      </c>
      <c r="B49" s="32" t="s">
        <v>84</v>
      </c>
      <c r="C49" s="33">
        <v>17</v>
      </c>
      <c r="D49" s="11">
        <v>11</v>
      </c>
      <c r="E49" s="33">
        <v>3</v>
      </c>
      <c r="F49" s="12">
        <v>3</v>
      </c>
      <c r="G49" s="34">
        <f>D49/C49</f>
        <v>0.6470588235294118</v>
      </c>
      <c r="H49" s="13">
        <f>(D49-F49)/C49</f>
        <v>0.47058823529411764</v>
      </c>
    </row>
    <row r="50" spans="1:8" ht="25.5" x14ac:dyDescent="0.25">
      <c r="A50" s="22" t="s">
        <v>31</v>
      </c>
      <c r="B50" s="23" t="s">
        <v>85</v>
      </c>
      <c r="C50" s="24">
        <v>2</v>
      </c>
      <c r="D50" s="25">
        <v>0</v>
      </c>
      <c r="E50" s="24">
        <v>1</v>
      </c>
      <c r="F50" s="26">
        <v>1</v>
      </c>
      <c r="G50" s="27">
        <f>D50/C50</f>
        <v>0</v>
      </c>
      <c r="H50" s="35">
        <f>(D50-F50)/C50</f>
        <v>-0.5</v>
      </c>
    </row>
    <row r="51" spans="1:8" ht="25.5" x14ac:dyDescent="0.25">
      <c r="A51" s="29" t="s">
        <v>31</v>
      </c>
      <c r="B51" s="30" t="s">
        <v>86</v>
      </c>
      <c r="C51" s="74" t="s">
        <v>47</v>
      </c>
      <c r="D51" s="31"/>
      <c r="E51" s="31"/>
      <c r="F51" s="31"/>
      <c r="G51" s="31"/>
      <c r="H51" s="31" t="s">
        <v>26</v>
      </c>
    </row>
    <row r="52" spans="1:8" ht="6" customHeight="1" x14ac:dyDescent="0.25"/>
    <row r="53" spans="1:8" ht="20.100000000000001" customHeight="1" x14ac:dyDescent="0.25">
      <c r="A53" s="65" t="s">
        <v>87</v>
      </c>
      <c r="B53" s="59"/>
      <c r="C53" s="59"/>
      <c r="D53" s="59"/>
      <c r="E53" s="59"/>
      <c r="F53" s="59"/>
      <c r="G53" s="59"/>
      <c r="H53" s="59"/>
    </row>
    <row r="54" spans="1:8" x14ac:dyDescent="0.25">
      <c r="A54" s="22" t="s">
        <v>32</v>
      </c>
      <c r="B54" s="23" t="s">
        <v>88</v>
      </c>
      <c r="C54" s="24">
        <v>6</v>
      </c>
      <c r="D54" s="25">
        <v>6</v>
      </c>
      <c r="E54" s="24">
        <v>0</v>
      </c>
      <c r="F54" s="26">
        <v>0</v>
      </c>
      <c r="G54" s="27">
        <f t="shared" ref="G54:G64" si="6">D54/C54</f>
        <v>1</v>
      </c>
      <c r="H54" s="28">
        <f t="shared" ref="H54:H64" si="7">(D54-F54)/C54</f>
        <v>1</v>
      </c>
    </row>
    <row r="55" spans="1:8" ht="25.5" x14ac:dyDescent="0.25">
      <c r="A55" s="9" t="s">
        <v>32</v>
      </c>
      <c r="B55" s="32" t="s">
        <v>89</v>
      </c>
      <c r="C55" s="33">
        <v>5</v>
      </c>
      <c r="D55" s="11">
        <v>5</v>
      </c>
      <c r="E55" s="33">
        <v>0</v>
      </c>
      <c r="F55" s="12">
        <v>0</v>
      </c>
      <c r="G55" s="34">
        <f t="shared" si="6"/>
        <v>1</v>
      </c>
      <c r="H55" s="13">
        <f t="shared" si="7"/>
        <v>1</v>
      </c>
    </row>
    <row r="56" spans="1:8" x14ac:dyDescent="0.25">
      <c r="A56" s="22" t="s">
        <v>32</v>
      </c>
      <c r="B56" s="23" t="s">
        <v>90</v>
      </c>
      <c r="C56" s="24">
        <v>15</v>
      </c>
      <c r="D56" s="25">
        <v>15</v>
      </c>
      <c r="E56" s="24">
        <v>0</v>
      </c>
      <c r="F56" s="26">
        <v>0</v>
      </c>
      <c r="G56" s="27">
        <f t="shared" si="6"/>
        <v>1</v>
      </c>
      <c r="H56" s="28">
        <f t="shared" si="7"/>
        <v>1</v>
      </c>
    </row>
    <row r="57" spans="1:8" ht="25.5" x14ac:dyDescent="0.25">
      <c r="A57" s="9" t="s">
        <v>32</v>
      </c>
      <c r="B57" s="32" t="s">
        <v>91</v>
      </c>
      <c r="C57" s="33">
        <v>4</v>
      </c>
      <c r="D57" s="11">
        <v>4</v>
      </c>
      <c r="E57" s="33">
        <v>0</v>
      </c>
      <c r="F57" s="12">
        <v>0</v>
      </c>
      <c r="G57" s="34">
        <f t="shared" si="6"/>
        <v>1</v>
      </c>
      <c r="H57" s="13">
        <f t="shared" si="7"/>
        <v>1</v>
      </c>
    </row>
    <row r="58" spans="1:8" ht="38.25" x14ac:dyDescent="0.25">
      <c r="A58" s="22" t="s">
        <v>32</v>
      </c>
      <c r="B58" s="23" t="s">
        <v>92</v>
      </c>
      <c r="C58" s="24">
        <v>12</v>
      </c>
      <c r="D58" s="25">
        <v>11</v>
      </c>
      <c r="E58" s="24">
        <v>1</v>
      </c>
      <c r="F58" s="26">
        <v>0</v>
      </c>
      <c r="G58" s="27">
        <f t="shared" si="6"/>
        <v>0.91666666666666663</v>
      </c>
      <c r="H58" s="28">
        <f t="shared" si="7"/>
        <v>0.91666666666666663</v>
      </c>
    </row>
    <row r="59" spans="1:8" ht="25.5" x14ac:dyDescent="0.25">
      <c r="A59" s="9" t="s">
        <v>32</v>
      </c>
      <c r="B59" s="32" t="s">
        <v>93</v>
      </c>
      <c r="C59" s="33">
        <v>11</v>
      </c>
      <c r="D59" s="11">
        <v>10</v>
      </c>
      <c r="E59" s="33">
        <v>0</v>
      </c>
      <c r="F59" s="12">
        <v>1</v>
      </c>
      <c r="G59" s="34">
        <f t="shared" si="6"/>
        <v>0.90909090909090906</v>
      </c>
      <c r="H59" s="13">
        <f t="shared" si="7"/>
        <v>0.81818181818181823</v>
      </c>
    </row>
    <row r="60" spans="1:8" x14ac:dyDescent="0.25">
      <c r="A60" s="22" t="s">
        <v>32</v>
      </c>
      <c r="B60" s="23" t="s">
        <v>94</v>
      </c>
      <c r="C60" s="24">
        <v>8</v>
      </c>
      <c r="D60" s="25">
        <v>6</v>
      </c>
      <c r="E60" s="24">
        <v>1</v>
      </c>
      <c r="F60" s="26">
        <v>1</v>
      </c>
      <c r="G60" s="27">
        <f t="shared" si="6"/>
        <v>0.75</v>
      </c>
      <c r="H60" s="28">
        <f t="shared" si="7"/>
        <v>0.625</v>
      </c>
    </row>
    <row r="61" spans="1:8" ht="25.5" x14ac:dyDescent="0.25">
      <c r="A61" s="9" t="s">
        <v>32</v>
      </c>
      <c r="B61" s="32" t="s">
        <v>95</v>
      </c>
      <c r="C61" s="33">
        <v>12</v>
      </c>
      <c r="D61" s="11">
        <v>6</v>
      </c>
      <c r="E61" s="33">
        <v>4</v>
      </c>
      <c r="F61" s="12">
        <v>2</v>
      </c>
      <c r="G61" s="34">
        <f t="shared" si="6"/>
        <v>0.5</v>
      </c>
      <c r="H61" s="13">
        <f t="shared" si="7"/>
        <v>0.33333333333333331</v>
      </c>
    </row>
    <row r="62" spans="1:8" ht="25.5" x14ac:dyDescent="0.25">
      <c r="A62" s="22" t="s">
        <v>32</v>
      </c>
      <c r="B62" s="23" t="s">
        <v>96</v>
      </c>
      <c r="C62" s="24">
        <v>9</v>
      </c>
      <c r="D62" s="25">
        <v>4</v>
      </c>
      <c r="E62" s="24">
        <v>4</v>
      </c>
      <c r="F62" s="26">
        <v>1</v>
      </c>
      <c r="G62" s="27">
        <f t="shared" si="6"/>
        <v>0.44444444444444442</v>
      </c>
      <c r="H62" s="28">
        <f t="shared" si="7"/>
        <v>0.33333333333333331</v>
      </c>
    </row>
    <row r="63" spans="1:8" ht="25.5" x14ac:dyDescent="0.25">
      <c r="A63" s="9" t="s">
        <v>32</v>
      </c>
      <c r="B63" s="32" t="s">
        <v>97</v>
      </c>
      <c r="C63" s="33">
        <v>4</v>
      </c>
      <c r="D63" s="11">
        <v>2</v>
      </c>
      <c r="E63" s="33">
        <v>1</v>
      </c>
      <c r="F63" s="12">
        <v>1</v>
      </c>
      <c r="G63" s="34">
        <f t="shared" si="6"/>
        <v>0.5</v>
      </c>
      <c r="H63" s="13">
        <f t="shared" si="7"/>
        <v>0.25</v>
      </c>
    </row>
    <row r="64" spans="1:8" x14ac:dyDescent="0.25">
      <c r="A64" s="22" t="s">
        <v>32</v>
      </c>
      <c r="B64" s="23" t="s">
        <v>98</v>
      </c>
      <c r="C64" s="24">
        <v>5</v>
      </c>
      <c r="D64" s="25">
        <v>0</v>
      </c>
      <c r="E64" s="24">
        <v>3</v>
      </c>
      <c r="F64" s="26">
        <v>2</v>
      </c>
      <c r="G64" s="27">
        <f t="shared" si="6"/>
        <v>0</v>
      </c>
      <c r="H64" s="35">
        <f t="shared" si="7"/>
        <v>-0.4</v>
      </c>
    </row>
    <row r="65" spans="1:8" ht="6" customHeight="1" x14ac:dyDescent="0.25"/>
    <row r="67" spans="1:8" x14ac:dyDescent="0.25">
      <c r="A67" s="61" t="s">
        <v>99</v>
      </c>
      <c r="B67" s="59"/>
      <c r="C67" s="59"/>
      <c r="D67" s="59"/>
      <c r="E67" s="59"/>
      <c r="F67" s="59"/>
      <c r="G67" s="59"/>
      <c r="H67" s="59"/>
    </row>
  </sheetData>
  <mergeCells count="11">
    <mergeCell ref="A9:H9"/>
    <mergeCell ref="A12:H12"/>
    <mergeCell ref="A1:H1"/>
    <mergeCell ref="A45:H45"/>
    <mergeCell ref="A67:H67"/>
    <mergeCell ref="A53:H53"/>
    <mergeCell ref="A2:H2"/>
    <mergeCell ref="A13:H13"/>
    <mergeCell ref="A5:H5"/>
    <mergeCell ref="A23:H23"/>
    <mergeCell ref="A32:H3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2"/>
  <sheetViews>
    <sheetView showGridLines="0" workbookViewId="0">
      <pane ySplit="4" topLeftCell="A63" activePane="bottomLeft" state="frozen"/>
      <selection pane="bottomLeft" activeCell="C67" sqref="C67:C69"/>
    </sheetView>
  </sheetViews>
  <sheetFormatPr baseColWidth="10" defaultColWidth="9.140625" defaultRowHeight="15" x14ac:dyDescent="0.25"/>
  <cols>
    <col min="1" max="1" width="28" customWidth="1"/>
    <col min="2" max="2" width="50" customWidth="1"/>
    <col min="3" max="4" width="10" customWidth="1"/>
    <col min="5" max="5" width="9" customWidth="1"/>
    <col min="6" max="7" width="10" customWidth="1"/>
    <col min="8" max="8" width="9" customWidth="1"/>
  </cols>
  <sheetData>
    <row r="1" spans="1:8" ht="30" customHeight="1" x14ac:dyDescent="0.25">
      <c r="A1" s="60" t="s">
        <v>100</v>
      </c>
      <c r="B1" s="59"/>
      <c r="C1" s="59"/>
      <c r="D1" s="59"/>
      <c r="E1" s="59"/>
      <c r="F1" s="59"/>
      <c r="G1" s="59"/>
      <c r="H1" s="59"/>
    </row>
    <row r="2" spans="1:8" ht="18" customHeight="1" x14ac:dyDescent="0.25">
      <c r="A2" s="64" t="s">
        <v>101</v>
      </c>
      <c r="B2" s="59"/>
      <c r="C2" s="59"/>
      <c r="D2" s="59"/>
      <c r="E2" s="59"/>
      <c r="F2" s="59"/>
      <c r="G2" s="59"/>
      <c r="H2" s="59"/>
    </row>
    <row r="3" spans="1:8" ht="8.1" customHeight="1" x14ac:dyDescent="0.25"/>
    <row r="4" spans="1:8" ht="27.95" customHeight="1" x14ac:dyDescent="0.25">
      <c r="A4" s="3" t="s">
        <v>10</v>
      </c>
      <c r="B4" s="3" t="s">
        <v>37</v>
      </c>
      <c r="C4" s="3" t="s">
        <v>38</v>
      </c>
      <c r="D4" s="3" t="s">
        <v>39</v>
      </c>
      <c r="E4" s="3" t="s">
        <v>40</v>
      </c>
      <c r="F4" s="3" t="s">
        <v>41</v>
      </c>
      <c r="G4" s="3" t="s">
        <v>42</v>
      </c>
      <c r="H4" s="3" t="s">
        <v>43</v>
      </c>
    </row>
    <row r="5" spans="1:8" ht="20.100000000000001" customHeight="1" x14ac:dyDescent="0.25">
      <c r="A5" s="65" t="s">
        <v>102</v>
      </c>
      <c r="B5" s="59"/>
      <c r="C5" s="59"/>
      <c r="D5" s="59"/>
      <c r="E5" s="59"/>
      <c r="F5" s="59"/>
      <c r="G5" s="59"/>
      <c r="H5" s="59"/>
    </row>
    <row r="6" spans="1:8" x14ac:dyDescent="0.25">
      <c r="A6" s="36" t="s">
        <v>22</v>
      </c>
      <c r="B6" s="37" t="s">
        <v>46</v>
      </c>
      <c r="C6" s="38">
        <v>2</v>
      </c>
      <c r="D6" s="39">
        <v>2</v>
      </c>
      <c r="E6" s="38">
        <v>0</v>
      </c>
      <c r="F6" s="40">
        <v>0</v>
      </c>
      <c r="G6" s="41">
        <f>D6/C6</f>
        <v>1</v>
      </c>
      <c r="H6" s="42">
        <f>(D6-F6)/C6</f>
        <v>1</v>
      </c>
    </row>
    <row r="7" spans="1:8" x14ac:dyDescent="0.25">
      <c r="A7" s="9" t="s">
        <v>22</v>
      </c>
      <c r="B7" s="32" t="s">
        <v>103</v>
      </c>
      <c r="C7" s="33">
        <v>1</v>
      </c>
      <c r="D7" s="11">
        <v>1</v>
      </c>
      <c r="E7" s="33">
        <v>0</v>
      </c>
      <c r="F7" s="12">
        <v>0</v>
      </c>
      <c r="G7" s="34">
        <f>D7/C7</f>
        <v>1</v>
      </c>
      <c r="H7" s="13">
        <f>(D7-F7)/C7</f>
        <v>1</v>
      </c>
    </row>
    <row r="8" spans="1:8" ht="25.5" x14ac:dyDescent="0.25">
      <c r="A8" s="29" t="s">
        <v>22</v>
      </c>
      <c r="B8" s="30" t="s">
        <v>45</v>
      </c>
      <c r="C8" s="74" t="s">
        <v>47</v>
      </c>
      <c r="D8" s="31"/>
      <c r="E8" s="31"/>
      <c r="F8" s="31"/>
      <c r="G8" s="31"/>
      <c r="H8" s="31" t="s">
        <v>26</v>
      </c>
    </row>
    <row r="9" spans="1:8" ht="6" customHeight="1" x14ac:dyDescent="0.25"/>
    <row r="10" spans="1:8" ht="20.100000000000001" customHeight="1" x14ac:dyDescent="0.25">
      <c r="A10" s="65" t="s">
        <v>104</v>
      </c>
      <c r="B10" s="59"/>
      <c r="C10" s="59"/>
      <c r="D10" s="59"/>
      <c r="E10" s="59"/>
      <c r="F10" s="59"/>
      <c r="G10" s="59"/>
      <c r="H10" s="59"/>
    </row>
    <row r="11" spans="1:8" ht="25.5" x14ac:dyDescent="0.25">
      <c r="A11" s="36" t="s">
        <v>23</v>
      </c>
      <c r="B11" s="37" t="s">
        <v>105</v>
      </c>
      <c r="C11" s="38">
        <v>5</v>
      </c>
      <c r="D11" s="39">
        <v>5</v>
      </c>
      <c r="E11" s="38">
        <v>0</v>
      </c>
      <c r="F11" s="40">
        <v>0</v>
      </c>
      <c r="G11" s="41">
        <f>D11/C11</f>
        <v>1</v>
      </c>
      <c r="H11" s="42">
        <f>(D11-F11)/C11</f>
        <v>1</v>
      </c>
    </row>
    <row r="12" spans="1:8" ht="25.5" x14ac:dyDescent="0.25">
      <c r="A12" s="9" t="s">
        <v>23</v>
      </c>
      <c r="B12" s="32" t="s">
        <v>106</v>
      </c>
      <c r="C12" s="33">
        <v>6</v>
      </c>
      <c r="D12" s="11">
        <v>6</v>
      </c>
      <c r="E12" s="33">
        <v>0</v>
      </c>
      <c r="F12" s="12">
        <v>0</v>
      </c>
      <c r="G12" s="34">
        <f>D12/C12</f>
        <v>1</v>
      </c>
      <c r="H12" s="13">
        <f>(D12-F12)/C12</f>
        <v>1</v>
      </c>
    </row>
    <row r="13" spans="1:8" ht="25.5" x14ac:dyDescent="0.25">
      <c r="A13" s="36" t="s">
        <v>23</v>
      </c>
      <c r="B13" s="37" t="s">
        <v>107</v>
      </c>
      <c r="C13" s="38">
        <v>4</v>
      </c>
      <c r="D13" s="39">
        <v>3</v>
      </c>
      <c r="E13" s="38">
        <v>1</v>
      </c>
      <c r="F13" s="40">
        <v>0</v>
      </c>
      <c r="G13" s="41">
        <f>D13/C13</f>
        <v>0.75</v>
      </c>
      <c r="H13" s="42">
        <f>(D13-F13)/C13</f>
        <v>0.75</v>
      </c>
    </row>
    <row r="14" spans="1:8" ht="6" customHeight="1" x14ac:dyDescent="0.25"/>
    <row r="15" spans="1:8" ht="20.100000000000001" customHeight="1" x14ac:dyDescent="0.25">
      <c r="A15" s="65" t="s">
        <v>108</v>
      </c>
      <c r="B15" s="59"/>
      <c r="C15" s="59"/>
      <c r="D15" s="59"/>
      <c r="E15" s="59"/>
      <c r="F15" s="59"/>
      <c r="G15" s="59"/>
      <c r="H15" s="59"/>
    </row>
    <row r="16" spans="1:8" x14ac:dyDescent="0.25">
      <c r="A16" s="36" t="s">
        <v>24</v>
      </c>
      <c r="B16" s="37" t="s">
        <v>109</v>
      </c>
      <c r="C16" s="38">
        <v>4</v>
      </c>
      <c r="D16" s="39">
        <v>4</v>
      </c>
      <c r="E16" s="38">
        <v>0</v>
      </c>
      <c r="F16" s="40">
        <v>0</v>
      </c>
      <c r="G16" s="41">
        <f>D16/C16</f>
        <v>1</v>
      </c>
      <c r="H16" s="42">
        <f>(D16-F16)/C16</f>
        <v>1</v>
      </c>
    </row>
    <row r="17" spans="1:8" x14ac:dyDescent="0.25">
      <c r="A17" s="9" t="s">
        <v>24</v>
      </c>
      <c r="B17" s="32" t="s">
        <v>110</v>
      </c>
      <c r="C17" s="33">
        <v>12</v>
      </c>
      <c r="D17" s="11">
        <v>9</v>
      </c>
      <c r="E17" s="33">
        <v>2</v>
      </c>
      <c r="F17" s="12">
        <v>1</v>
      </c>
      <c r="G17" s="34">
        <f>D17/C17</f>
        <v>0.75</v>
      </c>
      <c r="H17" s="13">
        <f>(D17-F17)/C17</f>
        <v>0.66666666666666663</v>
      </c>
    </row>
    <row r="18" spans="1:8" ht="25.5" x14ac:dyDescent="0.25">
      <c r="A18" s="29" t="s">
        <v>24</v>
      </c>
      <c r="B18" s="30" t="s">
        <v>111</v>
      </c>
      <c r="C18" s="74" t="s">
        <v>47</v>
      </c>
      <c r="D18" s="31"/>
      <c r="E18" s="31"/>
      <c r="F18" s="31"/>
      <c r="G18" s="31"/>
      <c r="H18" s="31" t="s">
        <v>26</v>
      </c>
    </row>
    <row r="19" spans="1:8" ht="6" customHeight="1" x14ac:dyDescent="0.25"/>
    <row r="20" spans="1:8" ht="20.100000000000001" customHeight="1" x14ac:dyDescent="0.25">
      <c r="A20" s="65" t="s">
        <v>112</v>
      </c>
      <c r="B20" s="59"/>
      <c r="C20" s="59"/>
      <c r="D20" s="59"/>
      <c r="E20" s="59"/>
      <c r="F20" s="59"/>
      <c r="G20" s="59"/>
      <c r="H20" s="59"/>
    </row>
    <row r="21" spans="1:8" ht="25.5" x14ac:dyDescent="0.25">
      <c r="A21" s="36" t="s">
        <v>28</v>
      </c>
      <c r="B21" s="37" t="s">
        <v>53</v>
      </c>
      <c r="C21" s="38">
        <v>8</v>
      </c>
      <c r="D21" s="39">
        <v>8</v>
      </c>
      <c r="E21" s="38">
        <v>0</v>
      </c>
      <c r="F21" s="40">
        <v>0</v>
      </c>
      <c r="G21" s="41">
        <f t="shared" ref="G21:G26" si="0">D21/C21</f>
        <v>1</v>
      </c>
      <c r="H21" s="42">
        <f t="shared" ref="H21:H26" si="1">(D21-F21)/C21</f>
        <v>1</v>
      </c>
    </row>
    <row r="22" spans="1:8" ht="25.5" x14ac:dyDescent="0.25">
      <c r="A22" s="9" t="s">
        <v>28</v>
      </c>
      <c r="B22" s="32" t="s">
        <v>58</v>
      </c>
      <c r="C22" s="33">
        <v>1</v>
      </c>
      <c r="D22" s="11">
        <v>1</v>
      </c>
      <c r="E22" s="33">
        <v>0</v>
      </c>
      <c r="F22" s="12">
        <v>0</v>
      </c>
      <c r="G22" s="34">
        <f t="shared" si="0"/>
        <v>1</v>
      </c>
      <c r="H22" s="13">
        <f t="shared" si="1"/>
        <v>1</v>
      </c>
    </row>
    <row r="23" spans="1:8" ht="25.5" x14ac:dyDescent="0.25">
      <c r="A23" s="36" t="s">
        <v>28</v>
      </c>
      <c r="B23" s="37" t="s">
        <v>56</v>
      </c>
      <c r="C23" s="38">
        <v>12</v>
      </c>
      <c r="D23" s="39">
        <v>11</v>
      </c>
      <c r="E23" s="38">
        <v>0</v>
      </c>
      <c r="F23" s="40">
        <v>1</v>
      </c>
      <c r="G23" s="41">
        <f t="shared" si="0"/>
        <v>0.91666666666666663</v>
      </c>
      <c r="H23" s="42">
        <f t="shared" si="1"/>
        <v>0.83333333333333337</v>
      </c>
    </row>
    <row r="24" spans="1:8" ht="25.5" x14ac:dyDescent="0.25">
      <c r="A24" s="9" t="s">
        <v>28</v>
      </c>
      <c r="B24" s="32" t="s">
        <v>52</v>
      </c>
      <c r="C24" s="33">
        <v>16</v>
      </c>
      <c r="D24" s="11">
        <v>14</v>
      </c>
      <c r="E24" s="33">
        <v>1</v>
      </c>
      <c r="F24" s="12">
        <v>1</v>
      </c>
      <c r="G24" s="34">
        <f t="shared" si="0"/>
        <v>0.875</v>
      </c>
      <c r="H24" s="13">
        <f t="shared" si="1"/>
        <v>0.8125</v>
      </c>
    </row>
    <row r="25" spans="1:8" ht="25.5" x14ac:dyDescent="0.25">
      <c r="A25" s="36" t="s">
        <v>28</v>
      </c>
      <c r="B25" s="37" t="s">
        <v>55</v>
      </c>
      <c r="C25" s="38">
        <v>4</v>
      </c>
      <c r="D25" s="39">
        <v>3</v>
      </c>
      <c r="E25" s="38">
        <v>0</v>
      </c>
      <c r="F25" s="40">
        <v>1</v>
      </c>
      <c r="G25" s="41">
        <f t="shared" si="0"/>
        <v>0.75</v>
      </c>
      <c r="H25" s="42">
        <f t="shared" si="1"/>
        <v>0.5</v>
      </c>
    </row>
    <row r="26" spans="1:8" x14ac:dyDescent="0.25">
      <c r="A26" s="9" t="s">
        <v>28</v>
      </c>
      <c r="B26" s="32" t="s">
        <v>59</v>
      </c>
      <c r="C26" s="33">
        <v>4</v>
      </c>
      <c r="D26" s="11">
        <v>3</v>
      </c>
      <c r="E26" s="33">
        <v>0</v>
      </c>
      <c r="F26" s="12">
        <v>1</v>
      </c>
      <c r="G26" s="34">
        <f t="shared" si="0"/>
        <v>0.75</v>
      </c>
      <c r="H26" s="13">
        <f t="shared" si="1"/>
        <v>0.5</v>
      </c>
    </row>
    <row r="27" spans="1:8" ht="6" customHeight="1" x14ac:dyDescent="0.25"/>
    <row r="28" spans="1:8" ht="20.100000000000001" customHeight="1" x14ac:dyDescent="0.25">
      <c r="A28" s="65" t="s">
        <v>113</v>
      </c>
      <c r="B28" s="59"/>
      <c r="C28" s="59"/>
      <c r="D28" s="59"/>
      <c r="E28" s="59"/>
      <c r="F28" s="59"/>
      <c r="G28" s="59"/>
      <c r="H28" s="59"/>
    </row>
    <row r="29" spans="1:8" ht="25.5" x14ac:dyDescent="0.25">
      <c r="A29" s="36" t="s">
        <v>29</v>
      </c>
      <c r="B29" s="37" t="s">
        <v>66</v>
      </c>
      <c r="C29" s="38">
        <v>6</v>
      </c>
      <c r="D29" s="39">
        <v>6</v>
      </c>
      <c r="E29" s="38">
        <v>0</v>
      </c>
      <c r="F29" s="40">
        <v>0</v>
      </c>
      <c r="G29" s="41">
        <f t="shared" ref="G29:G34" si="2">D29/C29</f>
        <v>1</v>
      </c>
      <c r="H29" s="42">
        <f t="shared" ref="H29:H34" si="3">(D29-F29)/C29</f>
        <v>1</v>
      </c>
    </row>
    <row r="30" spans="1:8" x14ac:dyDescent="0.25">
      <c r="A30" s="9" t="s">
        <v>29</v>
      </c>
      <c r="B30" s="32" t="s">
        <v>62</v>
      </c>
      <c r="C30" s="33">
        <v>5</v>
      </c>
      <c r="D30" s="11">
        <v>5</v>
      </c>
      <c r="E30" s="33">
        <v>0</v>
      </c>
      <c r="F30" s="12">
        <v>0</v>
      </c>
      <c r="G30" s="34">
        <f t="shared" si="2"/>
        <v>1</v>
      </c>
      <c r="H30" s="13">
        <f t="shared" si="3"/>
        <v>1</v>
      </c>
    </row>
    <row r="31" spans="1:8" ht="25.5" x14ac:dyDescent="0.25">
      <c r="A31" s="36" t="s">
        <v>29</v>
      </c>
      <c r="B31" s="37" t="s">
        <v>63</v>
      </c>
      <c r="C31" s="38">
        <v>3</v>
      </c>
      <c r="D31" s="39">
        <v>3</v>
      </c>
      <c r="E31" s="38">
        <v>0</v>
      </c>
      <c r="F31" s="40">
        <v>0</v>
      </c>
      <c r="G31" s="41">
        <f t="shared" si="2"/>
        <v>1</v>
      </c>
      <c r="H31" s="42">
        <f t="shared" si="3"/>
        <v>1</v>
      </c>
    </row>
    <row r="32" spans="1:8" x14ac:dyDescent="0.25">
      <c r="A32" s="9" t="s">
        <v>29</v>
      </c>
      <c r="B32" s="32" t="s">
        <v>67</v>
      </c>
      <c r="C32" s="33">
        <v>4</v>
      </c>
      <c r="D32" s="11">
        <v>3</v>
      </c>
      <c r="E32" s="33">
        <v>1</v>
      </c>
      <c r="F32" s="12">
        <v>0</v>
      </c>
      <c r="G32" s="34">
        <f t="shared" si="2"/>
        <v>0.75</v>
      </c>
      <c r="H32" s="13">
        <f t="shared" si="3"/>
        <v>0.75</v>
      </c>
    </row>
    <row r="33" spans="1:8" ht="25.5" x14ac:dyDescent="0.25">
      <c r="A33" s="36" t="s">
        <v>29</v>
      </c>
      <c r="B33" s="37" t="s">
        <v>64</v>
      </c>
      <c r="C33" s="38">
        <v>8</v>
      </c>
      <c r="D33" s="39">
        <v>6</v>
      </c>
      <c r="E33" s="38">
        <v>2</v>
      </c>
      <c r="F33" s="40">
        <v>0</v>
      </c>
      <c r="G33" s="41">
        <f t="shared" si="2"/>
        <v>0.75</v>
      </c>
      <c r="H33" s="42">
        <f t="shared" si="3"/>
        <v>0.75</v>
      </c>
    </row>
    <row r="34" spans="1:8" ht="25.5" x14ac:dyDescent="0.25">
      <c r="A34" s="9" t="s">
        <v>29</v>
      </c>
      <c r="B34" s="32" t="s">
        <v>61</v>
      </c>
      <c r="C34" s="33">
        <v>2</v>
      </c>
      <c r="D34" s="11">
        <v>1</v>
      </c>
      <c r="E34" s="33">
        <v>0</v>
      </c>
      <c r="F34" s="12">
        <v>1</v>
      </c>
      <c r="G34" s="34">
        <f t="shared" si="2"/>
        <v>0.5</v>
      </c>
      <c r="H34" s="13">
        <f t="shared" si="3"/>
        <v>0</v>
      </c>
    </row>
    <row r="35" spans="1:8" ht="25.5" x14ac:dyDescent="0.25">
      <c r="A35" s="29" t="s">
        <v>29</v>
      </c>
      <c r="B35" s="30" t="s">
        <v>65</v>
      </c>
      <c r="C35" s="74" t="s">
        <v>47</v>
      </c>
      <c r="D35" s="31"/>
      <c r="E35" s="31"/>
      <c r="F35" s="31"/>
      <c r="G35" s="31"/>
      <c r="H35" s="31" t="s">
        <v>26</v>
      </c>
    </row>
    <row r="36" spans="1:8" ht="6" customHeight="1" x14ac:dyDescent="0.25"/>
    <row r="37" spans="1:8" ht="20.100000000000001" customHeight="1" x14ac:dyDescent="0.25">
      <c r="A37" s="65" t="s">
        <v>114</v>
      </c>
      <c r="B37" s="59"/>
      <c r="C37" s="59"/>
      <c r="D37" s="59"/>
      <c r="E37" s="59"/>
      <c r="F37" s="59"/>
      <c r="G37" s="59"/>
      <c r="H37" s="59"/>
    </row>
    <row r="38" spans="1:8" x14ac:dyDescent="0.25">
      <c r="A38" s="36" t="s">
        <v>30</v>
      </c>
      <c r="B38" s="37" t="s">
        <v>115</v>
      </c>
      <c r="C38" s="38">
        <v>6</v>
      </c>
      <c r="D38" s="39">
        <v>6</v>
      </c>
      <c r="E38" s="38">
        <v>0</v>
      </c>
      <c r="F38" s="40">
        <v>0</v>
      </c>
      <c r="G38" s="41">
        <f t="shared" ref="G38:G46" si="4">D38/C38</f>
        <v>1</v>
      </c>
      <c r="H38" s="42">
        <f t="shared" ref="H38:H46" si="5">(D38-F38)/C38</f>
        <v>1</v>
      </c>
    </row>
    <row r="39" spans="1:8" ht="25.5" x14ac:dyDescent="0.25">
      <c r="A39" s="9" t="s">
        <v>30</v>
      </c>
      <c r="B39" s="32" t="s">
        <v>116</v>
      </c>
      <c r="C39" s="33">
        <v>6</v>
      </c>
      <c r="D39" s="11">
        <v>6</v>
      </c>
      <c r="E39" s="33">
        <v>0</v>
      </c>
      <c r="F39" s="12">
        <v>0</v>
      </c>
      <c r="G39" s="34">
        <f t="shared" si="4"/>
        <v>1</v>
      </c>
      <c r="H39" s="13">
        <f t="shared" si="5"/>
        <v>1</v>
      </c>
    </row>
    <row r="40" spans="1:8" x14ac:dyDescent="0.25">
      <c r="A40" s="36" t="s">
        <v>30</v>
      </c>
      <c r="B40" s="37" t="s">
        <v>117</v>
      </c>
      <c r="C40" s="38">
        <v>3</v>
      </c>
      <c r="D40" s="39">
        <v>3</v>
      </c>
      <c r="E40" s="38">
        <v>0</v>
      </c>
      <c r="F40" s="40">
        <v>0</v>
      </c>
      <c r="G40" s="41">
        <f t="shared" si="4"/>
        <v>1</v>
      </c>
      <c r="H40" s="42">
        <f t="shared" si="5"/>
        <v>1</v>
      </c>
    </row>
    <row r="41" spans="1:8" ht="38.25" x14ac:dyDescent="0.25">
      <c r="A41" s="9" t="s">
        <v>30</v>
      </c>
      <c r="B41" s="32" t="s">
        <v>118</v>
      </c>
      <c r="C41" s="33">
        <v>4</v>
      </c>
      <c r="D41" s="11">
        <v>4</v>
      </c>
      <c r="E41" s="33">
        <v>0</v>
      </c>
      <c r="F41" s="12">
        <v>0</v>
      </c>
      <c r="G41" s="34">
        <f t="shared" si="4"/>
        <v>1</v>
      </c>
      <c r="H41" s="13">
        <f t="shared" si="5"/>
        <v>1</v>
      </c>
    </row>
    <row r="42" spans="1:8" x14ac:dyDescent="0.25">
      <c r="A42" s="36" t="s">
        <v>30</v>
      </c>
      <c r="B42" s="37" t="s">
        <v>69</v>
      </c>
      <c r="C42" s="38">
        <v>3</v>
      </c>
      <c r="D42" s="39">
        <v>2</v>
      </c>
      <c r="E42" s="38">
        <v>1</v>
      </c>
      <c r="F42" s="40">
        <v>0</v>
      </c>
      <c r="G42" s="41">
        <f t="shared" si="4"/>
        <v>0.66666666666666663</v>
      </c>
      <c r="H42" s="42">
        <f t="shared" si="5"/>
        <v>0.66666666666666663</v>
      </c>
    </row>
    <row r="43" spans="1:8" x14ac:dyDescent="0.25">
      <c r="A43" s="9" t="s">
        <v>30</v>
      </c>
      <c r="B43" s="32" t="s">
        <v>73</v>
      </c>
      <c r="C43" s="33">
        <v>11</v>
      </c>
      <c r="D43" s="11">
        <v>7</v>
      </c>
      <c r="E43" s="33">
        <v>4</v>
      </c>
      <c r="F43" s="12">
        <v>0</v>
      </c>
      <c r="G43" s="34">
        <f t="shared" si="4"/>
        <v>0.63636363636363635</v>
      </c>
      <c r="H43" s="13">
        <f t="shared" si="5"/>
        <v>0.63636363636363635</v>
      </c>
    </row>
    <row r="44" spans="1:8" x14ac:dyDescent="0.25">
      <c r="A44" s="36" t="s">
        <v>30</v>
      </c>
      <c r="B44" s="37" t="s">
        <v>74</v>
      </c>
      <c r="C44" s="38">
        <v>5</v>
      </c>
      <c r="D44" s="39">
        <v>3</v>
      </c>
      <c r="E44" s="38">
        <v>2</v>
      </c>
      <c r="F44" s="40">
        <v>0</v>
      </c>
      <c r="G44" s="41">
        <f t="shared" si="4"/>
        <v>0.6</v>
      </c>
      <c r="H44" s="42">
        <f t="shared" si="5"/>
        <v>0.6</v>
      </c>
    </row>
    <row r="45" spans="1:8" ht="25.5" x14ac:dyDescent="0.25">
      <c r="A45" s="9" t="s">
        <v>30</v>
      </c>
      <c r="B45" s="32" t="s">
        <v>119</v>
      </c>
      <c r="C45" s="33">
        <v>6</v>
      </c>
      <c r="D45" s="11">
        <v>4</v>
      </c>
      <c r="E45" s="33">
        <v>1</v>
      </c>
      <c r="F45" s="12">
        <v>1</v>
      </c>
      <c r="G45" s="34">
        <f t="shared" si="4"/>
        <v>0.66666666666666663</v>
      </c>
      <c r="H45" s="13">
        <f t="shared" si="5"/>
        <v>0.5</v>
      </c>
    </row>
    <row r="46" spans="1:8" ht="25.5" x14ac:dyDescent="0.25">
      <c r="A46" s="36" t="s">
        <v>30</v>
      </c>
      <c r="B46" s="37" t="s">
        <v>120</v>
      </c>
      <c r="C46" s="38">
        <v>7</v>
      </c>
      <c r="D46" s="39">
        <v>2</v>
      </c>
      <c r="E46" s="38">
        <v>2</v>
      </c>
      <c r="F46" s="40">
        <v>3</v>
      </c>
      <c r="G46" s="41">
        <f t="shared" si="4"/>
        <v>0.2857142857142857</v>
      </c>
      <c r="H46" s="43">
        <f t="shared" si="5"/>
        <v>-0.14285714285714285</v>
      </c>
    </row>
    <row r="47" spans="1:8" ht="25.5" x14ac:dyDescent="0.25">
      <c r="A47" s="29" t="s">
        <v>30</v>
      </c>
      <c r="B47" s="30" t="s">
        <v>121</v>
      </c>
      <c r="C47" s="74" t="s">
        <v>47</v>
      </c>
      <c r="D47" s="31"/>
      <c r="E47" s="31"/>
      <c r="F47" s="31"/>
      <c r="G47" s="31"/>
      <c r="H47" s="31" t="s">
        <v>26</v>
      </c>
    </row>
    <row r="48" spans="1:8" ht="25.5" x14ac:dyDescent="0.25">
      <c r="A48" s="29" t="s">
        <v>30</v>
      </c>
      <c r="B48" s="30" t="s">
        <v>122</v>
      </c>
      <c r="C48" s="74" t="s">
        <v>47</v>
      </c>
      <c r="D48" s="31"/>
      <c r="E48" s="31"/>
      <c r="F48" s="31"/>
      <c r="G48" s="31"/>
      <c r="H48" s="31" t="s">
        <v>26</v>
      </c>
    </row>
    <row r="49" spans="1:8" ht="38.25" x14ac:dyDescent="0.25">
      <c r="A49" s="29" t="s">
        <v>30</v>
      </c>
      <c r="B49" s="30" t="s">
        <v>76</v>
      </c>
      <c r="C49" s="74" t="s">
        <v>47</v>
      </c>
      <c r="D49" s="31"/>
      <c r="E49" s="31"/>
      <c r="F49" s="31"/>
      <c r="G49" s="31"/>
      <c r="H49" s="31" t="s">
        <v>26</v>
      </c>
    </row>
    <row r="50" spans="1:8" ht="6" customHeight="1" x14ac:dyDescent="0.25"/>
    <row r="51" spans="1:8" ht="20.100000000000001" customHeight="1" x14ac:dyDescent="0.25">
      <c r="A51" s="65" t="s">
        <v>123</v>
      </c>
      <c r="B51" s="59"/>
      <c r="C51" s="59"/>
      <c r="D51" s="59"/>
      <c r="E51" s="59"/>
      <c r="F51" s="59"/>
      <c r="G51" s="59"/>
      <c r="H51" s="59"/>
    </row>
    <row r="52" spans="1:8" ht="21.95" customHeight="1" x14ac:dyDescent="0.25">
      <c r="A52" s="36" t="s">
        <v>31</v>
      </c>
      <c r="B52" s="37" t="s">
        <v>124</v>
      </c>
      <c r="C52" s="38">
        <v>1</v>
      </c>
      <c r="D52" s="39">
        <v>1</v>
      </c>
      <c r="E52" s="38">
        <v>0</v>
      </c>
      <c r="F52" s="40">
        <v>0</v>
      </c>
      <c r="G52" s="41">
        <f>D52/C52</f>
        <v>1</v>
      </c>
      <c r="H52" s="42">
        <f>(D52-F52)/C52</f>
        <v>1</v>
      </c>
    </row>
    <row r="53" spans="1:8" ht="21.95" customHeight="1" x14ac:dyDescent="0.25">
      <c r="A53" s="9" t="s">
        <v>31</v>
      </c>
      <c r="B53" s="32" t="s">
        <v>125</v>
      </c>
      <c r="C53" s="33">
        <v>9</v>
      </c>
      <c r="D53" s="11">
        <v>7</v>
      </c>
      <c r="E53" s="33">
        <v>2</v>
      </c>
      <c r="F53" s="12">
        <v>0</v>
      </c>
      <c r="G53" s="34">
        <f>D53/C53</f>
        <v>0.77777777777777779</v>
      </c>
      <c r="H53" s="13">
        <f>(D53-F53)/C53</f>
        <v>0.77777777777777779</v>
      </c>
    </row>
    <row r="54" spans="1:8" ht="21.95" customHeight="1" x14ac:dyDescent="0.25">
      <c r="A54" s="36" t="s">
        <v>31</v>
      </c>
      <c r="B54" s="37" t="s">
        <v>126</v>
      </c>
      <c r="C54" s="38">
        <v>7</v>
      </c>
      <c r="D54" s="39">
        <v>5</v>
      </c>
      <c r="E54" s="38">
        <v>1</v>
      </c>
      <c r="F54" s="40">
        <v>1</v>
      </c>
      <c r="G54" s="41">
        <f>D54/C54</f>
        <v>0.7142857142857143</v>
      </c>
      <c r="H54" s="42">
        <f>(D54-F54)/C54</f>
        <v>0.5714285714285714</v>
      </c>
    </row>
    <row r="55" spans="1:8" ht="21.95" customHeight="1" x14ac:dyDescent="0.25">
      <c r="A55" s="9" t="s">
        <v>31</v>
      </c>
      <c r="B55" s="32" t="s">
        <v>127</v>
      </c>
      <c r="C55" s="33">
        <v>5</v>
      </c>
      <c r="D55" s="11">
        <v>1</v>
      </c>
      <c r="E55" s="33">
        <v>2</v>
      </c>
      <c r="F55" s="12">
        <v>2</v>
      </c>
      <c r="G55" s="34">
        <f>D55/C55</f>
        <v>0.2</v>
      </c>
      <c r="H55" s="17">
        <f>(D55-F55)/C55</f>
        <v>-0.2</v>
      </c>
    </row>
    <row r="56" spans="1:8" ht="20.100000000000001" customHeight="1" x14ac:dyDescent="0.25">
      <c r="A56" s="29" t="s">
        <v>31</v>
      </c>
      <c r="B56" s="30" t="s">
        <v>128</v>
      </c>
      <c r="C56" s="74" t="s">
        <v>47</v>
      </c>
      <c r="D56" s="31"/>
      <c r="E56" s="31"/>
      <c r="F56" s="31"/>
      <c r="G56" s="31"/>
      <c r="H56" s="31" t="s">
        <v>26</v>
      </c>
    </row>
    <row r="57" spans="1:8" ht="20.100000000000001" customHeight="1" x14ac:dyDescent="0.25">
      <c r="A57" s="29" t="s">
        <v>31</v>
      </c>
      <c r="B57" s="30" t="s">
        <v>129</v>
      </c>
      <c r="C57" s="74" t="s">
        <v>47</v>
      </c>
      <c r="D57" s="31"/>
      <c r="E57" s="31"/>
      <c r="F57" s="31"/>
      <c r="G57" s="31"/>
      <c r="H57" s="31" t="s">
        <v>26</v>
      </c>
    </row>
    <row r="58" spans="1:8" ht="6" customHeight="1" x14ac:dyDescent="0.25"/>
    <row r="59" spans="1:8" ht="20.100000000000001" customHeight="1" x14ac:dyDescent="0.25">
      <c r="A59" s="65" t="s">
        <v>130</v>
      </c>
      <c r="B59" s="59"/>
      <c r="C59" s="59"/>
      <c r="D59" s="59"/>
      <c r="E59" s="59"/>
      <c r="F59" s="59"/>
      <c r="G59" s="59"/>
      <c r="H59" s="59"/>
    </row>
    <row r="60" spans="1:8" ht="25.5" x14ac:dyDescent="0.25">
      <c r="A60" s="36" t="s">
        <v>32</v>
      </c>
      <c r="B60" s="37" t="s">
        <v>131</v>
      </c>
      <c r="C60" s="38">
        <v>4</v>
      </c>
      <c r="D60" s="39">
        <v>4</v>
      </c>
      <c r="E60" s="38">
        <v>0</v>
      </c>
      <c r="F60" s="40">
        <v>0</v>
      </c>
      <c r="G60" s="41">
        <f t="shared" ref="G60:G66" si="6">D60/C60</f>
        <v>1</v>
      </c>
      <c r="H60" s="42">
        <f t="shared" ref="H60:H66" si="7">(D60-F60)/C60</f>
        <v>1</v>
      </c>
    </row>
    <row r="61" spans="1:8" ht="25.5" x14ac:dyDescent="0.25">
      <c r="A61" s="9" t="s">
        <v>32</v>
      </c>
      <c r="B61" s="32" t="s">
        <v>91</v>
      </c>
      <c r="C61" s="33">
        <v>12</v>
      </c>
      <c r="D61" s="11">
        <v>10</v>
      </c>
      <c r="E61" s="33">
        <v>0</v>
      </c>
      <c r="F61" s="12">
        <v>2</v>
      </c>
      <c r="G61" s="34">
        <f t="shared" si="6"/>
        <v>0.83333333333333337</v>
      </c>
      <c r="H61" s="13">
        <f t="shared" si="7"/>
        <v>0.66666666666666663</v>
      </c>
    </row>
    <row r="62" spans="1:8" ht="25.5" x14ac:dyDescent="0.25">
      <c r="A62" s="36" t="s">
        <v>32</v>
      </c>
      <c r="B62" s="37" t="s">
        <v>132</v>
      </c>
      <c r="C62" s="38">
        <v>4</v>
      </c>
      <c r="D62" s="39">
        <v>2</v>
      </c>
      <c r="E62" s="38">
        <v>2</v>
      </c>
      <c r="F62" s="40">
        <v>0</v>
      </c>
      <c r="G62" s="41">
        <f t="shared" si="6"/>
        <v>0.5</v>
      </c>
      <c r="H62" s="42">
        <f t="shared" si="7"/>
        <v>0.5</v>
      </c>
    </row>
    <row r="63" spans="1:8" ht="25.5" x14ac:dyDescent="0.25">
      <c r="A63" s="9" t="s">
        <v>32</v>
      </c>
      <c r="B63" s="32" t="s">
        <v>96</v>
      </c>
      <c r="C63" s="33">
        <v>30</v>
      </c>
      <c r="D63" s="11">
        <v>22</v>
      </c>
      <c r="E63" s="33">
        <v>1</v>
      </c>
      <c r="F63" s="12">
        <v>7</v>
      </c>
      <c r="G63" s="34">
        <f t="shared" si="6"/>
        <v>0.73333333333333328</v>
      </c>
      <c r="H63" s="13">
        <f t="shared" si="7"/>
        <v>0.5</v>
      </c>
    </row>
    <row r="64" spans="1:8" ht="38.25" x14ac:dyDescent="0.25">
      <c r="A64" s="36" t="s">
        <v>32</v>
      </c>
      <c r="B64" s="37" t="s">
        <v>133</v>
      </c>
      <c r="C64" s="38">
        <v>2</v>
      </c>
      <c r="D64" s="39">
        <v>1</v>
      </c>
      <c r="E64" s="38">
        <v>1</v>
      </c>
      <c r="F64" s="40">
        <v>0</v>
      </c>
      <c r="G64" s="41">
        <f t="shared" si="6"/>
        <v>0.5</v>
      </c>
      <c r="H64" s="42">
        <f t="shared" si="7"/>
        <v>0.5</v>
      </c>
    </row>
    <row r="65" spans="1:8" ht="25.5" x14ac:dyDescent="0.25">
      <c r="A65" s="9" t="s">
        <v>32</v>
      </c>
      <c r="B65" s="32" t="s">
        <v>134</v>
      </c>
      <c r="C65" s="33">
        <v>5</v>
      </c>
      <c r="D65" s="11">
        <v>3</v>
      </c>
      <c r="E65" s="33">
        <v>1</v>
      </c>
      <c r="F65" s="12">
        <v>1</v>
      </c>
      <c r="G65" s="34">
        <f t="shared" si="6"/>
        <v>0.6</v>
      </c>
      <c r="H65" s="13">
        <f t="shared" si="7"/>
        <v>0.4</v>
      </c>
    </row>
    <row r="66" spans="1:8" ht="25.5" x14ac:dyDescent="0.25">
      <c r="A66" s="36" t="s">
        <v>32</v>
      </c>
      <c r="B66" s="37" t="s">
        <v>135</v>
      </c>
      <c r="C66" s="38">
        <v>3</v>
      </c>
      <c r="D66" s="39">
        <v>1</v>
      </c>
      <c r="E66" s="38">
        <v>2</v>
      </c>
      <c r="F66" s="40">
        <v>0</v>
      </c>
      <c r="G66" s="41">
        <f t="shared" si="6"/>
        <v>0.33333333333333331</v>
      </c>
      <c r="H66" s="42">
        <f t="shared" si="7"/>
        <v>0.33333333333333331</v>
      </c>
    </row>
    <row r="67" spans="1:8" x14ac:dyDescent="0.25">
      <c r="A67" s="29" t="s">
        <v>32</v>
      </c>
      <c r="B67" s="30" t="s">
        <v>136</v>
      </c>
      <c r="C67" s="74" t="s">
        <v>47</v>
      </c>
      <c r="D67" s="31"/>
      <c r="E67" s="31"/>
      <c r="F67" s="31"/>
      <c r="G67" s="31"/>
      <c r="H67" s="31" t="s">
        <v>26</v>
      </c>
    </row>
    <row r="68" spans="1:8" ht="25.5" x14ac:dyDescent="0.25">
      <c r="A68" s="29" t="s">
        <v>32</v>
      </c>
      <c r="B68" s="30" t="s">
        <v>137</v>
      </c>
      <c r="C68" s="74" t="s">
        <v>47</v>
      </c>
      <c r="D68" s="31"/>
      <c r="E68" s="31"/>
      <c r="F68" s="31"/>
      <c r="G68" s="31"/>
      <c r="H68" s="31" t="s">
        <v>26</v>
      </c>
    </row>
    <row r="69" spans="1:8" ht="25.5" x14ac:dyDescent="0.25">
      <c r="A69" s="29" t="s">
        <v>32</v>
      </c>
      <c r="B69" s="30" t="s">
        <v>138</v>
      </c>
      <c r="C69" s="74" t="s">
        <v>47</v>
      </c>
      <c r="D69" s="31"/>
      <c r="E69" s="31"/>
      <c r="F69" s="31"/>
      <c r="G69" s="31"/>
      <c r="H69" s="31" t="s">
        <v>26</v>
      </c>
    </row>
    <row r="70" spans="1:8" ht="6" customHeight="1" x14ac:dyDescent="0.25"/>
    <row r="72" spans="1:8" x14ac:dyDescent="0.25">
      <c r="A72" s="61" t="s">
        <v>99</v>
      </c>
      <c r="B72" s="59"/>
      <c r="C72" s="59"/>
      <c r="D72" s="59"/>
      <c r="E72" s="59"/>
      <c r="F72" s="59"/>
      <c r="G72" s="59"/>
      <c r="H72" s="59"/>
    </row>
  </sheetData>
  <mergeCells count="11">
    <mergeCell ref="A72:H72"/>
    <mergeCell ref="A10:H10"/>
    <mergeCell ref="A28:H28"/>
    <mergeCell ref="A5:H5"/>
    <mergeCell ref="A37:H37"/>
    <mergeCell ref="A1:H1"/>
    <mergeCell ref="A15:H15"/>
    <mergeCell ref="A59:H59"/>
    <mergeCell ref="A20:H20"/>
    <mergeCell ref="A2:H2"/>
    <mergeCell ref="A51:H5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48"/>
  <sheetViews>
    <sheetView showGridLines="0" topLeftCell="A20" workbookViewId="0">
      <selection sqref="A1:E1"/>
    </sheetView>
  </sheetViews>
  <sheetFormatPr baseColWidth="10" defaultColWidth="9.140625" defaultRowHeight="15" x14ac:dyDescent="0.25"/>
  <cols>
    <col min="1" max="1" width="26" customWidth="1"/>
    <col min="2" max="2" width="46" customWidth="1"/>
    <col min="3" max="3" width="12" customWidth="1"/>
    <col min="4" max="4" width="15" customWidth="1"/>
    <col min="5" max="5" width="72" customWidth="1"/>
  </cols>
  <sheetData>
    <row r="1" spans="1:5" ht="30" customHeight="1" x14ac:dyDescent="0.25">
      <c r="A1" s="60" t="s">
        <v>139</v>
      </c>
      <c r="B1" s="59"/>
      <c r="C1" s="59"/>
      <c r="D1" s="59"/>
      <c r="E1" s="59"/>
    </row>
    <row r="2" spans="1:5" ht="18" customHeight="1" x14ac:dyDescent="0.25">
      <c r="A2" s="64" t="s">
        <v>140</v>
      </c>
      <c r="B2" s="59"/>
      <c r="C2" s="59"/>
      <c r="D2" s="59"/>
      <c r="E2" s="59"/>
    </row>
    <row r="3" spans="1:5" ht="8.1" customHeight="1" x14ac:dyDescent="0.25"/>
    <row r="4" spans="1:5" ht="21.95" customHeight="1" x14ac:dyDescent="0.25">
      <c r="A4" s="2" t="s">
        <v>10</v>
      </c>
      <c r="B4" s="2" t="s">
        <v>37</v>
      </c>
      <c r="C4" s="2" t="s">
        <v>141</v>
      </c>
      <c r="D4" s="2" t="s">
        <v>142</v>
      </c>
      <c r="E4" s="2" t="s">
        <v>143</v>
      </c>
    </row>
    <row r="5" spans="1:5" ht="20.100000000000001" customHeight="1" x14ac:dyDescent="0.25">
      <c r="A5" s="65" t="s">
        <v>44</v>
      </c>
      <c r="B5" s="59"/>
      <c r="C5" s="59"/>
      <c r="D5" s="59"/>
      <c r="E5" s="59"/>
    </row>
    <row r="6" spans="1:5" ht="50.1" customHeight="1" x14ac:dyDescent="0.25">
      <c r="A6" s="44" t="s">
        <v>22</v>
      </c>
      <c r="B6" s="45" t="s">
        <v>45</v>
      </c>
      <c r="C6" s="46">
        <v>7</v>
      </c>
      <c r="D6" s="47" t="s">
        <v>144</v>
      </c>
      <c r="E6" s="48" t="s">
        <v>145</v>
      </c>
    </row>
    <row r="7" spans="1:5" ht="6" customHeight="1" x14ac:dyDescent="0.25"/>
    <row r="8" spans="1:5" ht="20.100000000000001" customHeight="1" x14ac:dyDescent="0.25">
      <c r="A8" s="65" t="s">
        <v>48</v>
      </c>
      <c r="B8" s="59"/>
      <c r="C8" s="59"/>
      <c r="D8" s="59"/>
      <c r="E8" s="59"/>
    </row>
    <row r="9" spans="1:5" ht="50.1" customHeight="1" x14ac:dyDescent="0.25">
      <c r="A9" s="49" t="s">
        <v>23</v>
      </c>
      <c r="B9" s="50" t="s">
        <v>49</v>
      </c>
      <c r="C9" s="51">
        <v>5</v>
      </c>
      <c r="D9" s="52" t="s">
        <v>146</v>
      </c>
      <c r="E9" s="53" t="s">
        <v>147</v>
      </c>
    </row>
    <row r="10" spans="1:5" ht="6" customHeight="1" x14ac:dyDescent="0.25"/>
    <row r="11" spans="1:5" ht="20.100000000000001" customHeight="1" x14ac:dyDescent="0.25">
      <c r="A11" s="65" t="s">
        <v>51</v>
      </c>
      <c r="B11" s="59"/>
      <c r="C11" s="59"/>
      <c r="D11" s="59"/>
      <c r="E11" s="59"/>
    </row>
    <row r="12" spans="1:5" ht="50.1" customHeight="1" x14ac:dyDescent="0.25">
      <c r="A12" s="44" t="s">
        <v>28</v>
      </c>
      <c r="B12" s="45" t="s">
        <v>52</v>
      </c>
      <c r="C12" s="46">
        <v>7</v>
      </c>
      <c r="D12" s="47" t="s">
        <v>144</v>
      </c>
      <c r="E12" s="48" t="s">
        <v>148</v>
      </c>
    </row>
    <row r="13" spans="1:5" ht="50.1" customHeight="1" x14ac:dyDescent="0.25">
      <c r="A13" s="44" t="s">
        <v>28</v>
      </c>
      <c r="B13" s="45" t="s">
        <v>52</v>
      </c>
      <c r="C13" s="46">
        <v>6</v>
      </c>
      <c r="D13" s="47" t="s">
        <v>144</v>
      </c>
      <c r="E13" s="48" t="s">
        <v>149</v>
      </c>
    </row>
    <row r="14" spans="1:5" ht="50.1" customHeight="1" x14ac:dyDescent="0.25">
      <c r="A14" s="44" t="s">
        <v>28</v>
      </c>
      <c r="B14" s="45" t="s">
        <v>52</v>
      </c>
      <c r="C14" s="46">
        <v>7</v>
      </c>
      <c r="D14" s="47" t="s">
        <v>144</v>
      </c>
      <c r="E14" s="48" t="s">
        <v>150</v>
      </c>
    </row>
    <row r="15" spans="1:5" ht="50.1" customHeight="1" x14ac:dyDescent="0.25">
      <c r="A15" s="44" t="s">
        <v>28</v>
      </c>
      <c r="B15" s="45" t="s">
        <v>52</v>
      </c>
      <c r="C15" s="46">
        <v>7</v>
      </c>
      <c r="D15" s="47" t="s">
        <v>144</v>
      </c>
      <c r="E15" s="48" t="s">
        <v>151</v>
      </c>
    </row>
    <row r="16" spans="1:5" ht="50.1" customHeight="1" x14ac:dyDescent="0.25">
      <c r="A16" s="44" t="s">
        <v>28</v>
      </c>
      <c r="B16" s="45" t="s">
        <v>52</v>
      </c>
      <c r="C16" s="46">
        <v>7</v>
      </c>
      <c r="D16" s="47" t="s">
        <v>144</v>
      </c>
      <c r="E16" s="48" t="s">
        <v>152</v>
      </c>
    </row>
    <row r="17" spans="1:5" ht="50.1" customHeight="1" x14ac:dyDescent="0.25">
      <c r="A17" s="44" t="s">
        <v>28</v>
      </c>
      <c r="B17" s="45" t="s">
        <v>52</v>
      </c>
      <c r="C17" s="46">
        <v>6</v>
      </c>
      <c r="D17" s="47" t="s">
        <v>144</v>
      </c>
      <c r="E17" s="48" t="s">
        <v>153</v>
      </c>
    </row>
    <row r="18" spans="1:5" ht="50.1" customHeight="1" x14ac:dyDescent="0.25">
      <c r="A18" s="44" t="s">
        <v>28</v>
      </c>
      <c r="B18" s="45" t="s">
        <v>52</v>
      </c>
      <c r="C18" s="46">
        <v>7</v>
      </c>
      <c r="D18" s="47" t="s">
        <v>144</v>
      </c>
      <c r="E18" s="48" t="s">
        <v>154</v>
      </c>
    </row>
    <row r="19" spans="1:5" ht="50.1" customHeight="1" x14ac:dyDescent="0.25">
      <c r="A19" s="44" t="s">
        <v>28</v>
      </c>
      <c r="B19" s="45" t="s">
        <v>52</v>
      </c>
      <c r="C19" s="46">
        <v>7</v>
      </c>
      <c r="D19" s="47" t="s">
        <v>144</v>
      </c>
      <c r="E19" s="48" t="s">
        <v>155</v>
      </c>
    </row>
    <row r="20" spans="1:5" ht="50.1" customHeight="1" x14ac:dyDescent="0.25">
      <c r="A20" s="44" t="s">
        <v>28</v>
      </c>
      <c r="B20" s="45" t="s">
        <v>52</v>
      </c>
      <c r="C20" s="46">
        <v>7</v>
      </c>
      <c r="D20" s="47" t="s">
        <v>144</v>
      </c>
      <c r="E20" s="48" t="s">
        <v>154</v>
      </c>
    </row>
    <row r="21" spans="1:5" ht="50.1" customHeight="1" x14ac:dyDescent="0.25">
      <c r="A21" s="44" t="s">
        <v>28</v>
      </c>
      <c r="B21" s="45" t="s">
        <v>52</v>
      </c>
      <c r="C21" s="46">
        <v>7</v>
      </c>
      <c r="D21" s="47" t="s">
        <v>144</v>
      </c>
      <c r="E21" s="48" t="s">
        <v>156</v>
      </c>
    </row>
    <row r="22" spans="1:5" ht="50.1" customHeight="1" x14ac:dyDescent="0.25">
      <c r="A22" s="44" t="s">
        <v>28</v>
      </c>
      <c r="B22" s="45" t="s">
        <v>52</v>
      </c>
      <c r="C22" s="46">
        <v>6</v>
      </c>
      <c r="D22" s="47" t="s">
        <v>144</v>
      </c>
      <c r="E22" s="48" t="s">
        <v>157</v>
      </c>
    </row>
    <row r="23" spans="1:5" ht="50.1" customHeight="1" x14ac:dyDescent="0.25">
      <c r="A23" s="44" t="s">
        <v>28</v>
      </c>
      <c r="B23" s="45" t="s">
        <v>52</v>
      </c>
      <c r="C23" s="46">
        <v>7</v>
      </c>
      <c r="D23" s="47" t="s">
        <v>144</v>
      </c>
      <c r="E23" s="48" t="s">
        <v>158</v>
      </c>
    </row>
    <row r="24" spans="1:5" ht="50.1" customHeight="1" x14ac:dyDescent="0.25">
      <c r="A24" s="44" t="s">
        <v>28</v>
      </c>
      <c r="B24" s="45" t="s">
        <v>52</v>
      </c>
      <c r="C24" s="46">
        <v>7</v>
      </c>
      <c r="D24" s="47" t="s">
        <v>144</v>
      </c>
      <c r="E24" s="48" t="s">
        <v>159</v>
      </c>
    </row>
    <row r="25" spans="1:5" ht="50.1" customHeight="1" x14ac:dyDescent="0.25">
      <c r="A25" s="44" t="s">
        <v>28</v>
      </c>
      <c r="B25" s="45" t="s">
        <v>52</v>
      </c>
      <c r="C25" s="46">
        <v>7</v>
      </c>
      <c r="D25" s="47" t="s">
        <v>144</v>
      </c>
      <c r="E25" s="48" t="s">
        <v>160</v>
      </c>
    </row>
    <row r="26" spans="1:5" ht="50.1" customHeight="1" x14ac:dyDescent="0.25">
      <c r="A26" s="44" t="s">
        <v>28</v>
      </c>
      <c r="B26" s="45" t="s">
        <v>52</v>
      </c>
      <c r="C26" s="46">
        <v>7</v>
      </c>
      <c r="D26" s="47" t="s">
        <v>144</v>
      </c>
      <c r="E26" s="48" t="s">
        <v>161</v>
      </c>
    </row>
    <row r="27" spans="1:5" ht="50.1" customHeight="1" x14ac:dyDescent="0.25">
      <c r="A27" s="49" t="s">
        <v>28</v>
      </c>
      <c r="B27" s="50" t="s">
        <v>53</v>
      </c>
      <c r="C27" s="51">
        <v>5</v>
      </c>
      <c r="D27" s="52" t="s">
        <v>146</v>
      </c>
      <c r="E27" s="53" t="s">
        <v>162</v>
      </c>
    </row>
    <row r="28" spans="1:5" ht="50.1" customHeight="1" x14ac:dyDescent="0.25">
      <c r="A28" s="44" t="s">
        <v>28</v>
      </c>
      <c r="B28" s="45" t="s">
        <v>53</v>
      </c>
      <c r="C28" s="46">
        <v>7</v>
      </c>
      <c r="D28" s="47" t="s">
        <v>144</v>
      </c>
      <c r="E28" s="48" t="s">
        <v>163</v>
      </c>
    </row>
    <row r="29" spans="1:5" ht="50.1" customHeight="1" x14ac:dyDescent="0.25">
      <c r="A29" s="44" t="s">
        <v>28</v>
      </c>
      <c r="B29" s="45" t="s">
        <v>53</v>
      </c>
      <c r="C29" s="46">
        <v>7</v>
      </c>
      <c r="D29" s="47" t="s">
        <v>144</v>
      </c>
      <c r="E29" s="48" t="s">
        <v>164</v>
      </c>
    </row>
    <row r="30" spans="1:5" ht="50.1" customHeight="1" x14ac:dyDescent="0.25">
      <c r="A30" s="44" t="s">
        <v>28</v>
      </c>
      <c r="B30" s="45" t="s">
        <v>53</v>
      </c>
      <c r="C30" s="46">
        <v>7</v>
      </c>
      <c r="D30" s="47" t="s">
        <v>144</v>
      </c>
      <c r="E30" s="48" t="s">
        <v>165</v>
      </c>
    </row>
    <row r="31" spans="1:5" ht="50.1" customHeight="1" x14ac:dyDescent="0.25">
      <c r="A31" s="44" t="s">
        <v>28</v>
      </c>
      <c r="B31" s="45" t="s">
        <v>53</v>
      </c>
      <c r="C31" s="46">
        <v>7</v>
      </c>
      <c r="D31" s="47" t="s">
        <v>144</v>
      </c>
      <c r="E31" s="48" t="s">
        <v>166</v>
      </c>
    </row>
    <row r="32" spans="1:5" ht="50.1" customHeight="1" x14ac:dyDescent="0.25">
      <c r="A32" s="44" t="s">
        <v>28</v>
      </c>
      <c r="B32" s="45" t="s">
        <v>53</v>
      </c>
      <c r="C32" s="46">
        <v>7</v>
      </c>
      <c r="D32" s="47" t="s">
        <v>144</v>
      </c>
      <c r="E32" s="48" t="s">
        <v>167</v>
      </c>
    </row>
    <row r="33" spans="1:5" ht="50.1" customHeight="1" x14ac:dyDescent="0.25">
      <c r="A33" s="44" t="s">
        <v>28</v>
      </c>
      <c r="B33" s="45" t="s">
        <v>53</v>
      </c>
      <c r="C33" s="46">
        <v>7</v>
      </c>
      <c r="D33" s="47" t="s">
        <v>144</v>
      </c>
      <c r="E33" s="48" t="s">
        <v>168</v>
      </c>
    </row>
    <row r="34" spans="1:5" ht="50.1" customHeight="1" x14ac:dyDescent="0.25">
      <c r="A34" s="44" t="s">
        <v>28</v>
      </c>
      <c r="B34" s="45" t="s">
        <v>53</v>
      </c>
      <c r="C34" s="46">
        <v>7</v>
      </c>
      <c r="D34" s="47" t="s">
        <v>144</v>
      </c>
      <c r="E34" s="48" t="s">
        <v>169</v>
      </c>
    </row>
    <row r="35" spans="1:5" ht="50.1" customHeight="1" x14ac:dyDescent="0.25">
      <c r="A35" s="49" t="s">
        <v>28</v>
      </c>
      <c r="B35" s="50" t="s">
        <v>54</v>
      </c>
      <c r="C35" s="51">
        <v>5</v>
      </c>
      <c r="D35" s="52" t="s">
        <v>146</v>
      </c>
      <c r="E35" s="53" t="s">
        <v>170</v>
      </c>
    </row>
    <row r="36" spans="1:5" ht="50.1" customHeight="1" x14ac:dyDescent="0.25">
      <c r="A36" s="44" t="s">
        <v>28</v>
      </c>
      <c r="B36" s="45" t="s">
        <v>54</v>
      </c>
      <c r="C36" s="46">
        <v>7</v>
      </c>
      <c r="D36" s="47" t="s">
        <v>144</v>
      </c>
      <c r="E36" s="48" t="s">
        <v>171</v>
      </c>
    </row>
    <row r="37" spans="1:5" ht="50.1" customHeight="1" x14ac:dyDescent="0.25">
      <c r="A37" s="44" t="s">
        <v>28</v>
      </c>
      <c r="B37" s="45" t="s">
        <v>54</v>
      </c>
      <c r="C37" s="46">
        <v>7</v>
      </c>
      <c r="D37" s="47" t="s">
        <v>144</v>
      </c>
      <c r="E37" s="48" t="s">
        <v>172</v>
      </c>
    </row>
    <row r="38" spans="1:5" ht="50.1" customHeight="1" x14ac:dyDescent="0.25">
      <c r="A38" s="44" t="s">
        <v>28</v>
      </c>
      <c r="B38" s="45" t="s">
        <v>54</v>
      </c>
      <c r="C38" s="46">
        <v>6</v>
      </c>
      <c r="D38" s="47" t="s">
        <v>144</v>
      </c>
      <c r="E38" s="48" t="s">
        <v>173</v>
      </c>
    </row>
    <row r="39" spans="1:5" ht="50.1" customHeight="1" x14ac:dyDescent="0.25">
      <c r="A39" s="44" t="s">
        <v>28</v>
      </c>
      <c r="B39" s="45" t="s">
        <v>54</v>
      </c>
      <c r="C39" s="46">
        <v>7</v>
      </c>
      <c r="D39" s="47" t="s">
        <v>144</v>
      </c>
      <c r="E39" s="48" t="s">
        <v>174</v>
      </c>
    </row>
    <row r="40" spans="1:5" ht="50.1" customHeight="1" x14ac:dyDescent="0.25">
      <c r="A40" s="44" t="s">
        <v>28</v>
      </c>
      <c r="B40" s="45" t="s">
        <v>54</v>
      </c>
      <c r="C40" s="46">
        <v>7</v>
      </c>
      <c r="D40" s="47" t="s">
        <v>144</v>
      </c>
      <c r="E40" s="48" t="s">
        <v>175</v>
      </c>
    </row>
    <row r="41" spans="1:5" ht="50.1" customHeight="1" x14ac:dyDescent="0.25">
      <c r="A41" s="44" t="s">
        <v>28</v>
      </c>
      <c r="B41" s="45" t="s">
        <v>54</v>
      </c>
      <c r="C41" s="46">
        <v>6</v>
      </c>
      <c r="D41" s="47" t="s">
        <v>144</v>
      </c>
      <c r="E41" s="48" t="s">
        <v>176</v>
      </c>
    </row>
    <row r="42" spans="1:5" ht="50.1" customHeight="1" x14ac:dyDescent="0.25">
      <c r="A42" s="44" t="s">
        <v>28</v>
      </c>
      <c r="B42" s="45" t="s">
        <v>54</v>
      </c>
      <c r="C42" s="46">
        <v>7</v>
      </c>
      <c r="D42" s="47" t="s">
        <v>144</v>
      </c>
      <c r="E42" s="48" t="s">
        <v>177</v>
      </c>
    </row>
    <row r="43" spans="1:5" ht="50.1" customHeight="1" x14ac:dyDescent="0.25">
      <c r="A43" s="44" t="s">
        <v>28</v>
      </c>
      <c r="B43" s="45" t="s">
        <v>55</v>
      </c>
      <c r="C43" s="46">
        <v>7</v>
      </c>
      <c r="D43" s="47" t="s">
        <v>144</v>
      </c>
      <c r="E43" s="48" t="s">
        <v>178</v>
      </c>
    </row>
    <row r="44" spans="1:5" ht="50.1" customHeight="1" x14ac:dyDescent="0.25">
      <c r="A44" s="44" t="s">
        <v>28</v>
      </c>
      <c r="B44" s="45" t="s">
        <v>55</v>
      </c>
      <c r="C44" s="46">
        <v>7</v>
      </c>
      <c r="D44" s="47" t="s">
        <v>144</v>
      </c>
      <c r="E44" s="48" t="s">
        <v>179</v>
      </c>
    </row>
    <row r="45" spans="1:5" ht="50.1" customHeight="1" x14ac:dyDescent="0.25">
      <c r="A45" s="44" t="s">
        <v>28</v>
      </c>
      <c r="B45" s="45" t="s">
        <v>55</v>
      </c>
      <c r="C45" s="46">
        <v>6</v>
      </c>
      <c r="D45" s="47" t="s">
        <v>144</v>
      </c>
      <c r="E45" s="48" t="s">
        <v>180</v>
      </c>
    </row>
    <row r="46" spans="1:5" ht="50.1" customHeight="1" x14ac:dyDescent="0.25">
      <c r="A46" s="44" t="s">
        <v>28</v>
      </c>
      <c r="B46" s="45" t="s">
        <v>55</v>
      </c>
      <c r="C46" s="46">
        <v>6</v>
      </c>
      <c r="D46" s="47" t="s">
        <v>144</v>
      </c>
      <c r="E46" s="48" t="s">
        <v>181</v>
      </c>
    </row>
    <row r="47" spans="1:5" ht="50.1" customHeight="1" x14ac:dyDescent="0.25">
      <c r="A47" s="44" t="s">
        <v>28</v>
      </c>
      <c r="B47" s="45" t="s">
        <v>55</v>
      </c>
      <c r="C47" s="46">
        <v>7</v>
      </c>
      <c r="D47" s="47" t="s">
        <v>144</v>
      </c>
      <c r="E47" s="48" t="s">
        <v>182</v>
      </c>
    </row>
    <row r="48" spans="1:5" ht="50.1" customHeight="1" x14ac:dyDescent="0.25">
      <c r="A48" s="44" t="s">
        <v>28</v>
      </c>
      <c r="B48" s="45" t="s">
        <v>56</v>
      </c>
      <c r="C48" s="46">
        <v>7</v>
      </c>
      <c r="D48" s="47" t="s">
        <v>144</v>
      </c>
      <c r="E48" s="48" t="s">
        <v>183</v>
      </c>
    </row>
    <row r="49" spans="1:5" ht="50.1" customHeight="1" x14ac:dyDescent="0.25">
      <c r="A49" s="44" t="s">
        <v>28</v>
      </c>
      <c r="B49" s="45" t="s">
        <v>56</v>
      </c>
      <c r="C49" s="46">
        <v>7</v>
      </c>
      <c r="D49" s="47" t="s">
        <v>144</v>
      </c>
      <c r="E49" s="48" t="s">
        <v>184</v>
      </c>
    </row>
    <row r="50" spans="1:5" ht="50.1" customHeight="1" x14ac:dyDescent="0.25">
      <c r="A50" s="44" t="s">
        <v>28</v>
      </c>
      <c r="B50" s="45" t="s">
        <v>56</v>
      </c>
      <c r="C50" s="46">
        <v>7</v>
      </c>
      <c r="D50" s="47" t="s">
        <v>144</v>
      </c>
      <c r="E50" s="48" t="s">
        <v>185</v>
      </c>
    </row>
    <row r="51" spans="1:5" ht="50.1" customHeight="1" x14ac:dyDescent="0.25">
      <c r="A51" s="44" t="s">
        <v>28</v>
      </c>
      <c r="B51" s="45" t="s">
        <v>56</v>
      </c>
      <c r="C51" s="46">
        <v>6</v>
      </c>
      <c r="D51" s="47" t="s">
        <v>144</v>
      </c>
      <c r="E51" s="48" t="s">
        <v>186</v>
      </c>
    </row>
    <row r="52" spans="1:5" ht="50.1" customHeight="1" x14ac:dyDescent="0.25">
      <c r="A52" s="44" t="s">
        <v>28</v>
      </c>
      <c r="B52" s="45" t="s">
        <v>57</v>
      </c>
      <c r="C52" s="46">
        <v>7</v>
      </c>
      <c r="D52" s="47" t="s">
        <v>144</v>
      </c>
      <c r="E52" s="48" t="s">
        <v>187</v>
      </c>
    </row>
    <row r="53" spans="1:5" ht="50.1" customHeight="1" x14ac:dyDescent="0.25">
      <c r="A53" s="44" t="s">
        <v>28</v>
      </c>
      <c r="B53" s="45" t="s">
        <v>57</v>
      </c>
      <c r="C53" s="46">
        <v>7</v>
      </c>
      <c r="D53" s="47" t="s">
        <v>144</v>
      </c>
      <c r="E53" s="48" t="s">
        <v>188</v>
      </c>
    </row>
    <row r="54" spans="1:5" ht="50.1" customHeight="1" x14ac:dyDescent="0.25">
      <c r="A54" s="54" t="s">
        <v>28</v>
      </c>
      <c r="B54" s="55" t="s">
        <v>58</v>
      </c>
      <c r="C54" s="56">
        <v>4</v>
      </c>
      <c r="D54" s="57" t="s">
        <v>189</v>
      </c>
      <c r="E54" s="58" t="s">
        <v>190</v>
      </c>
    </row>
    <row r="55" spans="1:5" ht="50.1" customHeight="1" x14ac:dyDescent="0.25">
      <c r="A55" s="44" t="s">
        <v>28</v>
      </c>
      <c r="B55" s="45" t="s">
        <v>58</v>
      </c>
      <c r="C55" s="46">
        <v>7</v>
      </c>
      <c r="D55" s="47" t="s">
        <v>144</v>
      </c>
      <c r="E55" s="48" t="s">
        <v>191</v>
      </c>
    </row>
    <row r="56" spans="1:5" ht="50.1" customHeight="1" x14ac:dyDescent="0.25">
      <c r="A56" s="44" t="s">
        <v>28</v>
      </c>
      <c r="B56" s="45" t="s">
        <v>58</v>
      </c>
      <c r="C56" s="46">
        <v>6</v>
      </c>
      <c r="D56" s="47" t="s">
        <v>144</v>
      </c>
      <c r="E56" s="48" t="s">
        <v>192</v>
      </c>
    </row>
    <row r="57" spans="1:5" ht="50.1" customHeight="1" x14ac:dyDescent="0.25">
      <c r="A57" s="44" t="s">
        <v>28</v>
      </c>
      <c r="B57" s="45" t="s">
        <v>58</v>
      </c>
      <c r="C57" s="46">
        <v>7</v>
      </c>
      <c r="D57" s="47" t="s">
        <v>144</v>
      </c>
      <c r="E57" s="48" t="s">
        <v>193</v>
      </c>
    </row>
    <row r="58" spans="1:5" ht="50.1" customHeight="1" x14ac:dyDescent="0.25">
      <c r="A58" s="44" t="s">
        <v>28</v>
      </c>
      <c r="B58" s="45" t="s">
        <v>58</v>
      </c>
      <c r="C58" s="46">
        <v>7</v>
      </c>
      <c r="D58" s="47" t="s">
        <v>144</v>
      </c>
      <c r="E58" s="48" t="s">
        <v>194</v>
      </c>
    </row>
    <row r="59" spans="1:5" ht="50.1" customHeight="1" x14ac:dyDescent="0.25">
      <c r="A59" s="44" t="s">
        <v>28</v>
      </c>
      <c r="B59" s="45" t="s">
        <v>58</v>
      </c>
      <c r="C59" s="46">
        <v>6</v>
      </c>
      <c r="D59" s="47" t="s">
        <v>144</v>
      </c>
      <c r="E59" s="48" t="s">
        <v>195</v>
      </c>
    </row>
    <row r="60" spans="1:5" ht="50.1" customHeight="1" x14ac:dyDescent="0.25">
      <c r="A60" s="54" t="s">
        <v>28</v>
      </c>
      <c r="B60" s="55" t="s">
        <v>59</v>
      </c>
      <c r="C60" s="56">
        <v>3</v>
      </c>
      <c r="D60" s="57" t="s">
        <v>189</v>
      </c>
      <c r="E60" s="58" t="s">
        <v>196</v>
      </c>
    </row>
    <row r="61" spans="1:5" ht="50.1" customHeight="1" x14ac:dyDescent="0.25">
      <c r="A61" s="44" t="s">
        <v>28</v>
      </c>
      <c r="B61" s="45" t="s">
        <v>59</v>
      </c>
      <c r="C61" s="46">
        <v>7</v>
      </c>
      <c r="D61" s="47" t="s">
        <v>144</v>
      </c>
      <c r="E61" s="48" t="s">
        <v>197</v>
      </c>
    </row>
    <row r="62" spans="1:5" ht="6" customHeight="1" x14ac:dyDescent="0.25"/>
    <row r="63" spans="1:5" ht="20.100000000000001" customHeight="1" x14ac:dyDescent="0.25">
      <c r="A63" s="65" t="s">
        <v>60</v>
      </c>
      <c r="B63" s="59"/>
      <c r="C63" s="59"/>
      <c r="D63" s="59"/>
      <c r="E63" s="59"/>
    </row>
    <row r="64" spans="1:5" ht="50.1" customHeight="1" x14ac:dyDescent="0.25">
      <c r="A64" s="44" t="s">
        <v>29</v>
      </c>
      <c r="B64" s="45" t="s">
        <v>62</v>
      </c>
      <c r="C64" s="46">
        <v>6</v>
      </c>
      <c r="D64" s="47" t="s">
        <v>144</v>
      </c>
      <c r="E64" s="48" t="s">
        <v>198</v>
      </c>
    </row>
    <row r="65" spans="1:5" ht="50.1" customHeight="1" x14ac:dyDescent="0.25">
      <c r="A65" s="44" t="s">
        <v>29</v>
      </c>
      <c r="B65" s="45" t="s">
        <v>63</v>
      </c>
      <c r="C65" s="46">
        <v>7</v>
      </c>
      <c r="D65" s="47" t="s">
        <v>144</v>
      </c>
      <c r="E65" s="48" t="s">
        <v>199</v>
      </c>
    </row>
    <row r="66" spans="1:5" ht="50.1" customHeight="1" x14ac:dyDescent="0.25">
      <c r="A66" s="44" t="s">
        <v>29</v>
      </c>
      <c r="B66" s="45" t="s">
        <v>63</v>
      </c>
      <c r="C66" s="46">
        <v>6</v>
      </c>
      <c r="D66" s="47" t="s">
        <v>144</v>
      </c>
      <c r="E66" s="48" t="s">
        <v>200</v>
      </c>
    </row>
    <row r="67" spans="1:5" ht="50.1" customHeight="1" x14ac:dyDescent="0.25">
      <c r="A67" s="49" t="s">
        <v>29</v>
      </c>
      <c r="B67" s="50" t="s">
        <v>64</v>
      </c>
      <c r="C67" s="51">
        <v>5</v>
      </c>
      <c r="D67" s="52" t="s">
        <v>146</v>
      </c>
      <c r="E67" s="53" t="s">
        <v>201</v>
      </c>
    </row>
    <row r="68" spans="1:5" ht="50.1" customHeight="1" x14ac:dyDescent="0.25">
      <c r="A68" s="44" t="s">
        <v>29</v>
      </c>
      <c r="B68" s="45" t="s">
        <v>64</v>
      </c>
      <c r="C68" s="46">
        <v>6</v>
      </c>
      <c r="D68" s="47" t="s">
        <v>144</v>
      </c>
      <c r="E68" s="48" t="s">
        <v>202</v>
      </c>
    </row>
    <row r="69" spans="1:5" ht="50.1" customHeight="1" x14ac:dyDescent="0.25">
      <c r="A69" s="44" t="s">
        <v>29</v>
      </c>
      <c r="B69" s="45" t="s">
        <v>64</v>
      </c>
      <c r="C69" s="46">
        <v>6</v>
      </c>
      <c r="D69" s="47" t="s">
        <v>144</v>
      </c>
      <c r="E69" s="48" t="s">
        <v>203</v>
      </c>
    </row>
    <row r="70" spans="1:5" ht="50.1" customHeight="1" x14ac:dyDescent="0.25">
      <c r="A70" s="44" t="s">
        <v>29</v>
      </c>
      <c r="B70" s="45" t="s">
        <v>64</v>
      </c>
      <c r="C70" s="46">
        <v>7</v>
      </c>
      <c r="D70" s="47" t="s">
        <v>144</v>
      </c>
      <c r="E70" s="48" t="s">
        <v>204</v>
      </c>
    </row>
    <row r="71" spans="1:5" ht="50.1" customHeight="1" x14ac:dyDescent="0.25">
      <c r="A71" s="44" t="s">
        <v>29</v>
      </c>
      <c r="B71" s="45" t="s">
        <v>64</v>
      </c>
      <c r="C71" s="46">
        <v>7</v>
      </c>
      <c r="D71" s="47" t="s">
        <v>144</v>
      </c>
      <c r="E71" s="48" t="s">
        <v>205</v>
      </c>
    </row>
    <row r="72" spans="1:5" ht="50.1" customHeight="1" x14ac:dyDescent="0.25">
      <c r="A72" s="44" t="s">
        <v>29</v>
      </c>
      <c r="B72" s="45" t="s">
        <v>64</v>
      </c>
      <c r="C72" s="46">
        <v>6</v>
      </c>
      <c r="D72" s="47" t="s">
        <v>144</v>
      </c>
      <c r="E72" s="48" t="s">
        <v>206</v>
      </c>
    </row>
    <row r="73" spans="1:5" ht="50.1" customHeight="1" x14ac:dyDescent="0.25">
      <c r="A73" s="44" t="s">
        <v>29</v>
      </c>
      <c r="B73" s="45" t="s">
        <v>64</v>
      </c>
      <c r="C73" s="46">
        <v>6</v>
      </c>
      <c r="D73" s="47" t="s">
        <v>144</v>
      </c>
      <c r="E73" s="48" t="s">
        <v>207</v>
      </c>
    </row>
    <row r="74" spans="1:5" ht="50.1" customHeight="1" x14ac:dyDescent="0.25">
      <c r="A74" s="44" t="s">
        <v>29</v>
      </c>
      <c r="B74" s="45" t="s">
        <v>64</v>
      </c>
      <c r="C74" s="46">
        <v>7</v>
      </c>
      <c r="D74" s="47" t="s">
        <v>144</v>
      </c>
      <c r="E74" s="48" t="s">
        <v>208</v>
      </c>
    </row>
    <row r="75" spans="1:5" ht="50.1" customHeight="1" x14ac:dyDescent="0.25">
      <c r="A75" s="44" t="s">
        <v>29</v>
      </c>
      <c r="B75" s="45" t="s">
        <v>64</v>
      </c>
      <c r="C75" s="46">
        <v>7</v>
      </c>
      <c r="D75" s="47" t="s">
        <v>144</v>
      </c>
      <c r="E75" s="48" t="s">
        <v>209</v>
      </c>
    </row>
    <row r="76" spans="1:5" ht="50.1" customHeight="1" x14ac:dyDescent="0.25">
      <c r="A76" s="44" t="s">
        <v>29</v>
      </c>
      <c r="B76" s="45" t="s">
        <v>64</v>
      </c>
      <c r="C76" s="46">
        <v>7</v>
      </c>
      <c r="D76" s="47" t="s">
        <v>144</v>
      </c>
      <c r="E76" s="48" t="s">
        <v>210</v>
      </c>
    </row>
    <row r="77" spans="1:5" ht="50.1" customHeight="1" x14ac:dyDescent="0.25">
      <c r="A77" s="44" t="s">
        <v>29</v>
      </c>
      <c r="B77" s="45" t="s">
        <v>64</v>
      </c>
      <c r="C77" s="46">
        <v>7</v>
      </c>
      <c r="D77" s="47" t="s">
        <v>144</v>
      </c>
      <c r="E77" s="48" t="s">
        <v>211</v>
      </c>
    </row>
    <row r="78" spans="1:5" ht="50.1" customHeight="1" x14ac:dyDescent="0.25">
      <c r="A78" s="49" t="s">
        <v>29</v>
      </c>
      <c r="B78" s="50" t="s">
        <v>65</v>
      </c>
      <c r="C78" s="51">
        <v>5</v>
      </c>
      <c r="D78" s="52" t="s">
        <v>146</v>
      </c>
      <c r="E78" s="53" t="s">
        <v>212</v>
      </c>
    </row>
    <row r="79" spans="1:5" ht="50.1" customHeight="1" x14ac:dyDescent="0.25">
      <c r="A79" s="49" t="s">
        <v>29</v>
      </c>
      <c r="B79" s="50" t="s">
        <v>65</v>
      </c>
      <c r="C79" s="51">
        <v>5</v>
      </c>
      <c r="D79" s="52" t="s">
        <v>146</v>
      </c>
      <c r="E79" s="53" t="s">
        <v>213</v>
      </c>
    </row>
    <row r="80" spans="1:5" ht="50.1" customHeight="1" x14ac:dyDescent="0.25">
      <c r="A80" s="44" t="s">
        <v>29</v>
      </c>
      <c r="B80" s="45" t="s">
        <v>65</v>
      </c>
      <c r="C80" s="46">
        <v>6</v>
      </c>
      <c r="D80" s="47" t="s">
        <v>144</v>
      </c>
      <c r="E80" s="48" t="s">
        <v>214</v>
      </c>
    </row>
    <row r="81" spans="1:5" ht="50.1" customHeight="1" x14ac:dyDescent="0.25">
      <c r="A81" s="54" t="s">
        <v>29</v>
      </c>
      <c r="B81" s="55" t="s">
        <v>66</v>
      </c>
      <c r="C81" s="56">
        <v>3</v>
      </c>
      <c r="D81" s="57" t="s">
        <v>189</v>
      </c>
      <c r="E81" s="58" t="s">
        <v>215</v>
      </c>
    </row>
    <row r="82" spans="1:5" ht="50.1" customHeight="1" x14ac:dyDescent="0.25">
      <c r="A82" s="54" t="s">
        <v>29</v>
      </c>
      <c r="B82" s="55" t="s">
        <v>66</v>
      </c>
      <c r="C82" s="56">
        <v>4</v>
      </c>
      <c r="D82" s="57" t="s">
        <v>189</v>
      </c>
      <c r="E82" s="58" t="s">
        <v>216</v>
      </c>
    </row>
    <row r="83" spans="1:5" ht="50.1" customHeight="1" x14ac:dyDescent="0.25">
      <c r="A83" s="44" t="s">
        <v>29</v>
      </c>
      <c r="B83" s="45" t="s">
        <v>66</v>
      </c>
      <c r="C83" s="46">
        <v>7</v>
      </c>
      <c r="D83" s="47" t="s">
        <v>144</v>
      </c>
      <c r="E83" s="48" t="s">
        <v>217</v>
      </c>
    </row>
    <row r="84" spans="1:5" ht="6" customHeight="1" x14ac:dyDescent="0.25"/>
    <row r="85" spans="1:5" ht="20.100000000000001" customHeight="1" x14ac:dyDescent="0.25">
      <c r="A85" s="65" t="s">
        <v>68</v>
      </c>
      <c r="B85" s="59"/>
      <c r="C85" s="59"/>
      <c r="D85" s="59"/>
      <c r="E85" s="59"/>
    </row>
    <row r="86" spans="1:5" ht="50.1" customHeight="1" x14ac:dyDescent="0.25">
      <c r="A86" s="44" t="s">
        <v>30</v>
      </c>
      <c r="B86" s="45" t="s">
        <v>69</v>
      </c>
      <c r="C86" s="46">
        <v>7</v>
      </c>
      <c r="D86" s="47" t="s">
        <v>144</v>
      </c>
      <c r="E86" s="48" t="s">
        <v>218</v>
      </c>
    </row>
    <row r="87" spans="1:5" ht="50.1" customHeight="1" x14ac:dyDescent="0.25">
      <c r="A87" s="44" t="s">
        <v>30</v>
      </c>
      <c r="B87" s="45" t="s">
        <v>69</v>
      </c>
      <c r="C87" s="46">
        <v>7</v>
      </c>
      <c r="D87" s="47" t="s">
        <v>144</v>
      </c>
      <c r="E87" s="48" t="s">
        <v>219</v>
      </c>
    </row>
    <row r="88" spans="1:5" ht="50.1" customHeight="1" x14ac:dyDescent="0.25">
      <c r="A88" s="44" t="s">
        <v>30</v>
      </c>
      <c r="B88" s="45" t="s">
        <v>69</v>
      </c>
      <c r="C88" s="46">
        <v>7</v>
      </c>
      <c r="D88" s="47" t="s">
        <v>144</v>
      </c>
      <c r="E88" s="48" t="s">
        <v>154</v>
      </c>
    </row>
    <row r="89" spans="1:5" ht="50.1" customHeight="1" x14ac:dyDescent="0.25">
      <c r="A89" s="44" t="s">
        <v>30</v>
      </c>
      <c r="B89" s="45" t="s">
        <v>69</v>
      </c>
      <c r="C89" s="46">
        <v>7</v>
      </c>
      <c r="D89" s="47" t="s">
        <v>144</v>
      </c>
      <c r="E89" s="48" t="s">
        <v>220</v>
      </c>
    </row>
    <row r="90" spans="1:5" ht="50.1" customHeight="1" x14ac:dyDescent="0.25">
      <c r="A90" s="44" t="s">
        <v>30</v>
      </c>
      <c r="B90" s="45" t="s">
        <v>69</v>
      </c>
      <c r="C90" s="46">
        <v>7</v>
      </c>
      <c r="D90" s="47" t="s">
        <v>144</v>
      </c>
      <c r="E90" s="48" t="s">
        <v>221</v>
      </c>
    </row>
    <row r="91" spans="1:5" ht="50.1" customHeight="1" x14ac:dyDescent="0.25">
      <c r="A91" s="44" t="s">
        <v>30</v>
      </c>
      <c r="B91" s="45" t="s">
        <v>69</v>
      </c>
      <c r="C91" s="46">
        <v>7</v>
      </c>
      <c r="D91" s="47" t="s">
        <v>144</v>
      </c>
      <c r="E91" s="48" t="s">
        <v>222</v>
      </c>
    </row>
    <row r="92" spans="1:5" ht="50.1" customHeight="1" x14ac:dyDescent="0.25">
      <c r="A92" s="44" t="s">
        <v>30</v>
      </c>
      <c r="B92" s="45" t="s">
        <v>69</v>
      </c>
      <c r="C92" s="46">
        <v>7</v>
      </c>
      <c r="D92" s="47" t="s">
        <v>144</v>
      </c>
      <c r="E92" s="48" t="s">
        <v>223</v>
      </c>
    </row>
    <row r="93" spans="1:5" ht="50.1" customHeight="1" x14ac:dyDescent="0.25">
      <c r="A93" s="44" t="s">
        <v>30</v>
      </c>
      <c r="B93" s="45" t="s">
        <v>69</v>
      </c>
      <c r="C93" s="46">
        <v>7</v>
      </c>
      <c r="D93" s="47" t="s">
        <v>144</v>
      </c>
      <c r="E93" s="48" t="s">
        <v>224</v>
      </c>
    </row>
    <row r="94" spans="1:5" ht="50.1" customHeight="1" x14ac:dyDescent="0.25">
      <c r="A94" s="44" t="s">
        <v>30</v>
      </c>
      <c r="B94" s="45" t="s">
        <v>70</v>
      </c>
      <c r="C94" s="46">
        <v>7</v>
      </c>
      <c r="D94" s="47" t="s">
        <v>144</v>
      </c>
      <c r="E94" s="48" t="s">
        <v>225</v>
      </c>
    </row>
    <row r="95" spans="1:5" ht="50.1" customHeight="1" x14ac:dyDescent="0.25">
      <c r="A95" s="44" t="s">
        <v>30</v>
      </c>
      <c r="B95" s="45" t="s">
        <v>70</v>
      </c>
      <c r="C95" s="46">
        <v>7</v>
      </c>
      <c r="D95" s="47" t="s">
        <v>144</v>
      </c>
      <c r="E95" s="48" t="s">
        <v>226</v>
      </c>
    </row>
    <row r="96" spans="1:5" ht="50.1" customHeight="1" x14ac:dyDescent="0.25">
      <c r="A96" s="49" t="s">
        <v>30</v>
      </c>
      <c r="B96" s="50" t="s">
        <v>71</v>
      </c>
      <c r="C96" s="51">
        <v>5</v>
      </c>
      <c r="D96" s="52" t="s">
        <v>146</v>
      </c>
      <c r="E96" s="53" t="s">
        <v>227</v>
      </c>
    </row>
    <row r="97" spans="1:5" ht="50.1" customHeight="1" x14ac:dyDescent="0.25">
      <c r="A97" s="44" t="s">
        <v>30</v>
      </c>
      <c r="B97" s="45" t="s">
        <v>71</v>
      </c>
      <c r="C97" s="46">
        <v>7</v>
      </c>
      <c r="D97" s="47" t="s">
        <v>144</v>
      </c>
      <c r="E97" s="48" t="s">
        <v>228</v>
      </c>
    </row>
    <row r="98" spans="1:5" ht="50.1" customHeight="1" x14ac:dyDescent="0.25">
      <c r="A98" s="44" t="s">
        <v>30</v>
      </c>
      <c r="B98" s="45" t="s">
        <v>71</v>
      </c>
      <c r="C98" s="46">
        <v>6</v>
      </c>
      <c r="D98" s="47" t="s">
        <v>144</v>
      </c>
      <c r="E98" s="48" t="s">
        <v>229</v>
      </c>
    </row>
    <row r="99" spans="1:5" ht="50.1" customHeight="1" x14ac:dyDescent="0.25">
      <c r="A99" s="54" t="s">
        <v>30</v>
      </c>
      <c r="B99" s="55" t="s">
        <v>72</v>
      </c>
      <c r="C99" s="56">
        <v>1</v>
      </c>
      <c r="D99" s="57" t="s">
        <v>189</v>
      </c>
      <c r="E99" s="58" t="s">
        <v>230</v>
      </c>
    </row>
    <row r="100" spans="1:5" ht="50.1" customHeight="1" x14ac:dyDescent="0.25">
      <c r="A100" s="44" t="s">
        <v>30</v>
      </c>
      <c r="B100" s="45" t="s">
        <v>72</v>
      </c>
      <c r="C100" s="46">
        <v>7</v>
      </c>
      <c r="D100" s="47" t="s">
        <v>144</v>
      </c>
      <c r="E100" s="48" t="s">
        <v>231</v>
      </c>
    </row>
    <row r="101" spans="1:5" ht="50.1" customHeight="1" x14ac:dyDescent="0.25">
      <c r="A101" s="44" t="s">
        <v>30</v>
      </c>
      <c r="B101" s="45" t="s">
        <v>72</v>
      </c>
      <c r="C101" s="46">
        <v>6</v>
      </c>
      <c r="D101" s="47" t="s">
        <v>144</v>
      </c>
      <c r="E101" s="48" t="s">
        <v>232</v>
      </c>
    </row>
    <row r="102" spans="1:5" ht="50.1" customHeight="1" x14ac:dyDescent="0.25">
      <c r="A102" s="44" t="s">
        <v>30</v>
      </c>
      <c r="B102" s="45" t="s">
        <v>72</v>
      </c>
      <c r="C102" s="46">
        <v>7</v>
      </c>
      <c r="D102" s="47" t="s">
        <v>144</v>
      </c>
      <c r="E102" s="48" t="s">
        <v>233</v>
      </c>
    </row>
    <row r="103" spans="1:5" ht="50.1" customHeight="1" x14ac:dyDescent="0.25">
      <c r="A103" s="44" t="s">
        <v>30</v>
      </c>
      <c r="B103" s="45" t="s">
        <v>72</v>
      </c>
      <c r="C103" s="46">
        <v>7</v>
      </c>
      <c r="D103" s="47" t="s">
        <v>144</v>
      </c>
      <c r="E103" s="48" t="s">
        <v>234</v>
      </c>
    </row>
    <row r="104" spans="1:5" ht="50.1" customHeight="1" x14ac:dyDescent="0.25">
      <c r="A104" s="44" t="s">
        <v>30</v>
      </c>
      <c r="B104" s="45" t="s">
        <v>72</v>
      </c>
      <c r="C104" s="46">
        <v>7</v>
      </c>
      <c r="D104" s="47" t="s">
        <v>144</v>
      </c>
      <c r="E104" s="48" t="s">
        <v>235</v>
      </c>
    </row>
    <row r="105" spans="1:5" ht="50.1" customHeight="1" x14ac:dyDescent="0.25">
      <c r="A105" s="44" t="s">
        <v>30</v>
      </c>
      <c r="B105" s="45" t="s">
        <v>72</v>
      </c>
      <c r="C105" s="46">
        <v>6</v>
      </c>
      <c r="D105" s="47" t="s">
        <v>144</v>
      </c>
      <c r="E105" s="48" t="s">
        <v>154</v>
      </c>
    </row>
    <row r="106" spans="1:5" ht="50.1" customHeight="1" x14ac:dyDescent="0.25">
      <c r="A106" s="44" t="s">
        <v>30</v>
      </c>
      <c r="B106" s="45" t="s">
        <v>72</v>
      </c>
      <c r="C106" s="46">
        <v>7</v>
      </c>
      <c r="D106" s="47" t="s">
        <v>144</v>
      </c>
      <c r="E106" s="48" t="s">
        <v>236</v>
      </c>
    </row>
    <row r="107" spans="1:5" ht="50.1" customHeight="1" x14ac:dyDescent="0.25">
      <c r="A107" s="54" t="s">
        <v>30</v>
      </c>
      <c r="B107" s="55" t="s">
        <v>73</v>
      </c>
      <c r="C107" s="56">
        <v>4</v>
      </c>
      <c r="D107" s="57" t="s">
        <v>189</v>
      </c>
      <c r="E107" s="58" t="s">
        <v>237</v>
      </c>
    </row>
    <row r="108" spans="1:5" ht="50.1" customHeight="1" x14ac:dyDescent="0.25">
      <c r="A108" s="49" t="s">
        <v>30</v>
      </c>
      <c r="B108" s="50" t="s">
        <v>73</v>
      </c>
      <c r="C108" s="51">
        <v>5</v>
      </c>
      <c r="D108" s="52" t="s">
        <v>146</v>
      </c>
      <c r="E108" s="53" t="s">
        <v>238</v>
      </c>
    </row>
    <row r="109" spans="1:5" ht="50.1" customHeight="1" x14ac:dyDescent="0.25">
      <c r="A109" s="49" t="s">
        <v>30</v>
      </c>
      <c r="B109" s="50" t="s">
        <v>73</v>
      </c>
      <c r="C109" s="51">
        <v>5</v>
      </c>
      <c r="D109" s="52" t="s">
        <v>146</v>
      </c>
      <c r="E109" s="53" t="s">
        <v>239</v>
      </c>
    </row>
    <row r="110" spans="1:5" ht="50.1" customHeight="1" x14ac:dyDescent="0.25">
      <c r="A110" s="44" t="s">
        <v>30</v>
      </c>
      <c r="B110" s="45" t="s">
        <v>73</v>
      </c>
      <c r="C110" s="46">
        <v>7</v>
      </c>
      <c r="D110" s="47" t="s">
        <v>144</v>
      </c>
      <c r="E110" s="48" t="s">
        <v>154</v>
      </c>
    </row>
    <row r="111" spans="1:5" ht="50.1" customHeight="1" x14ac:dyDescent="0.25">
      <c r="A111" s="44" t="s">
        <v>30</v>
      </c>
      <c r="B111" s="45" t="s">
        <v>73</v>
      </c>
      <c r="C111" s="46">
        <v>7</v>
      </c>
      <c r="D111" s="47" t="s">
        <v>144</v>
      </c>
      <c r="E111" s="48" t="s">
        <v>240</v>
      </c>
    </row>
    <row r="112" spans="1:5" ht="50.1" customHeight="1" x14ac:dyDescent="0.25">
      <c r="A112" s="44" t="s">
        <v>30</v>
      </c>
      <c r="B112" s="45" t="s">
        <v>73</v>
      </c>
      <c r="C112" s="46">
        <v>7</v>
      </c>
      <c r="D112" s="47" t="s">
        <v>144</v>
      </c>
      <c r="E112" s="48" t="s">
        <v>241</v>
      </c>
    </row>
    <row r="113" spans="1:5" ht="50.1" customHeight="1" x14ac:dyDescent="0.25">
      <c r="A113" s="44" t="s">
        <v>30</v>
      </c>
      <c r="B113" s="45" t="s">
        <v>73</v>
      </c>
      <c r="C113" s="46">
        <v>7</v>
      </c>
      <c r="D113" s="47" t="s">
        <v>144</v>
      </c>
      <c r="E113" s="48" t="s">
        <v>242</v>
      </c>
    </row>
    <row r="114" spans="1:5" ht="50.1" customHeight="1" x14ac:dyDescent="0.25">
      <c r="A114" s="44" t="s">
        <v>30</v>
      </c>
      <c r="B114" s="45" t="s">
        <v>73</v>
      </c>
      <c r="C114" s="46">
        <v>7</v>
      </c>
      <c r="D114" s="47" t="s">
        <v>144</v>
      </c>
      <c r="E114" s="48" t="s">
        <v>243</v>
      </c>
    </row>
    <row r="115" spans="1:5" ht="50.1" customHeight="1" x14ac:dyDescent="0.25">
      <c r="A115" s="44" t="s">
        <v>30</v>
      </c>
      <c r="B115" s="45" t="s">
        <v>73</v>
      </c>
      <c r="C115" s="46">
        <v>7</v>
      </c>
      <c r="D115" s="47" t="s">
        <v>144</v>
      </c>
      <c r="E115" s="48" t="s">
        <v>244</v>
      </c>
    </row>
    <row r="116" spans="1:5" ht="50.1" customHeight="1" x14ac:dyDescent="0.25">
      <c r="A116" s="44" t="s">
        <v>30</v>
      </c>
      <c r="B116" s="45" t="s">
        <v>73</v>
      </c>
      <c r="C116" s="46">
        <v>7</v>
      </c>
      <c r="D116" s="47" t="s">
        <v>144</v>
      </c>
      <c r="E116" s="48" t="s">
        <v>245</v>
      </c>
    </row>
    <row r="117" spans="1:5" ht="50.1" customHeight="1" x14ac:dyDescent="0.25">
      <c r="A117" s="44" t="s">
        <v>30</v>
      </c>
      <c r="B117" s="45" t="s">
        <v>73</v>
      </c>
      <c r="C117" s="46">
        <v>7</v>
      </c>
      <c r="D117" s="47" t="s">
        <v>144</v>
      </c>
      <c r="E117" s="48" t="s">
        <v>246</v>
      </c>
    </row>
    <row r="118" spans="1:5" ht="50.1" customHeight="1" x14ac:dyDescent="0.25">
      <c r="A118" s="44" t="s">
        <v>30</v>
      </c>
      <c r="B118" s="45" t="s">
        <v>73</v>
      </c>
      <c r="C118" s="46">
        <v>6</v>
      </c>
      <c r="D118" s="47" t="s">
        <v>144</v>
      </c>
      <c r="E118" s="48" t="s">
        <v>154</v>
      </c>
    </row>
    <row r="119" spans="1:5" ht="50.1" customHeight="1" x14ac:dyDescent="0.25">
      <c r="A119" s="44" t="s">
        <v>30</v>
      </c>
      <c r="B119" s="45" t="s">
        <v>73</v>
      </c>
      <c r="C119" s="46">
        <v>7</v>
      </c>
      <c r="D119" s="47" t="s">
        <v>144</v>
      </c>
      <c r="E119" s="48" t="s">
        <v>247</v>
      </c>
    </row>
    <row r="120" spans="1:5" ht="50.1" customHeight="1" x14ac:dyDescent="0.25">
      <c r="A120" s="44" t="s">
        <v>30</v>
      </c>
      <c r="B120" s="45" t="s">
        <v>73</v>
      </c>
      <c r="C120" s="46">
        <v>7</v>
      </c>
      <c r="D120" s="47" t="s">
        <v>144</v>
      </c>
      <c r="E120" s="48" t="s">
        <v>248</v>
      </c>
    </row>
    <row r="121" spans="1:5" ht="50.1" customHeight="1" x14ac:dyDescent="0.25">
      <c r="A121" s="44" t="s">
        <v>30</v>
      </c>
      <c r="B121" s="45" t="s">
        <v>73</v>
      </c>
      <c r="C121" s="46">
        <v>7</v>
      </c>
      <c r="D121" s="47" t="s">
        <v>144</v>
      </c>
      <c r="E121" s="48" t="s">
        <v>249</v>
      </c>
    </row>
    <row r="122" spans="1:5" ht="50.1" customHeight="1" x14ac:dyDescent="0.25">
      <c r="A122" s="44" t="s">
        <v>30</v>
      </c>
      <c r="B122" s="45" t="s">
        <v>73</v>
      </c>
      <c r="C122" s="46">
        <v>7</v>
      </c>
      <c r="D122" s="47" t="s">
        <v>144</v>
      </c>
      <c r="E122" s="48" t="s">
        <v>250</v>
      </c>
    </row>
    <row r="123" spans="1:5" ht="50.1" customHeight="1" x14ac:dyDescent="0.25">
      <c r="A123" s="49" t="s">
        <v>30</v>
      </c>
      <c r="B123" s="50" t="s">
        <v>74</v>
      </c>
      <c r="C123" s="51">
        <v>5</v>
      </c>
      <c r="D123" s="52" t="s">
        <v>146</v>
      </c>
      <c r="E123" s="53" t="s">
        <v>251</v>
      </c>
    </row>
    <row r="124" spans="1:5" ht="50.1" customHeight="1" x14ac:dyDescent="0.25">
      <c r="A124" s="44" t="s">
        <v>30</v>
      </c>
      <c r="B124" s="45" t="s">
        <v>74</v>
      </c>
      <c r="C124" s="46">
        <v>7</v>
      </c>
      <c r="D124" s="47" t="s">
        <v>144</v>
      </c>
      <c r="E124" s="48" t="s">
        <v>252</v>
      </c>
    </row>
    <row r="125" spans="1:5" ht="50.1" customHeight="1" x14ac:dyDescent="0.25">
      <c r="A125" s="44" t="s">
        <v>30</v>
      </c>
      <c r="B125" s="45" t="s">
        <v>74</v>
      </c>
      <c r="C125" s="46">
        <v>7</v>
      </c>
      <c r="D125" s="47" t="s">
        <v>144</v>
      </c>
      <c r="E125" s="48" t="s">
        <v>253</v>
      </c>
    </row>
    <row r="126" spans="1:5" ht="50.1" customHeight="1" x14ac:dyDescent="0.25">
      <c r="A126" s="44" t="s">
        <v>30</v>
      </c>
      <c r="B126" s="45" t="s">
        <v>74</v>
      </c>
      <c r="C126" s="46">
        <v>7</v>
      </c>
      <c r="D126" s="47" t="s">
        <v>144</v>
      </c>
      <c r="E126" s="48" t="s">
        <v>254</v>
      </c>
    </row>
    <row r="127" spans="1:5" ht="50.1" customHeight="1" x14ac:dyDescent="0.25">
      <c r="A127" s="44" t="s">
        <v>30</v>
      </c>
      <c r="B127" s="45" t="s">
        <v>74</v>
      </c>
      <c r="C127" s="46">
        <v>6</v>
      </c>
      <c r="D127" s="47" t="s">
        <v>144</v>
      </c>
      <c r="E127" s="48" t="s">
        <v>255</v>
      </c>
    </row>
    <row r="128" spans="1:5" ht="50.1" customHeight="1" x14ac:dyDescent="0.25">
      <c r="A128" s="44" t="s">
        <v>30</v>
      </c>
      <c r="B128" s="45" t="s">
        <v>74</v>
      </c>
      <c r="C128" s="46">
        <v>7</v>
      </c>
      <c r="D128" s="47" t="s">
        <v>144</v>
      </c>
      <c r="E128" s="48" t="s">
        <v>256</v>
      </c>
    </row>
    <row r="129" spans="1:5" ht="50.1" customHeight="1" x14ac:dyDescent="0.25">
      <c r="A129" s="44" t="s">
        <v>30</v>
      </c>
      <c r="B129" s="45" t="s">
        <v>74</v>
      </c>
      <c r="C129" s="46">
        <v>7</v>
      </c>
      <c r="D129" s="47" t="s">
        <v>144</v>
      </c>
      <c r="E129" s="48" t="s">
        <v>257</v>
      </c>
    </row>
    <row r="130" spans="1:5" ht="50.1" customHeight="1" x14ac:dyDescent="0.25">
      <c r="A130" s="44" t="s">
        <v>30</v>
      </c>
      <c r="B130" s="45" t="s">
        <v>74</v>
      </c>
      <c r="C130" s="46">
        <v>6</v>
      </c>
      <c r="D130" s="47" t="s">
        <v>144</v>
      </c>
      <c r="E130" s="48" t="s">
        <v>258</v>
      </c>
    </row>
    <row r="131" spans="1:5" ht="50.1" customHeight="1" x14ac:dyDescent="0.25">
      <c r="A131" s="54" t="s">
        <v>30</v>
      </c>
      <c r="B131" s="55" t="s">
        <v>75</v>
      </c>
      <c r="C131" s="56">
        <v>3</v>
      </c>
      <c r="D131" s="57" t="s">
        <v>189</v>
      </c>
      <c r="E131" s="58" t="s">
        <v>259</v>
      </c>
    </row>
    <row r="132" spans="1:5" ht="50.1" customHeight="1" x14ac:dyDescent="0.25">
      <c r="A132" s="54" t="s">
        <v>30</v>
      </c>
      <c r="B132" s="55" t="s">
        <v>75</v>
      </c>
      <c r="C132" s="56">
        <v>4</v>
      </c>
      <c r="D132" s="57" t="s">
        <v>189</v>
      </c>
      <c r="E132" s="58" t="s">
        <v>154</v>
      </c>
    </row>
    <row r="133" spans="1:5" ht="50.1" customHeight="1" x14ac:dyDescent="0.25">
      <c r="A133" s="49" t="s">
        <v>30</v>
      </c>
      <c r="B133" s="50" t="s">
        <v>75</v>
      </c>
      <c r="C133" s="51">
        <v>5</v>
      </c>
      <c r="D133" s="52" t="s">
        <v>146</v>
      </c>
      <c r="E133" s="53" t="s">
        <v>260</v>
      </c>
    </row>
    <row r="134" spans="1:5" ht="50.1" customHeight="1" x14ac:dyDescent="0.25">
      <c r="A134" s="44" t="s">
        <v>30</v>
      </c>
      <c r="B134" s="45" t="s">
        <v>75</v>
      </c>
      <c r="C134" s="46">
        <v>7</v>
      </c>
      <c r="D134" s="47" t="s">
        <v>144</v>
      </c>
      <c r="E134" s="48" t="s">
        <v>261</v>
      </c>
    </row>
    <row r="135" spans="1:5" ht="50.1" customHeight="1" x14ac:dyDescent="0.25">
      <c r="A135" s="44" t="s">
        <v>30</v>
      </c>
      <c r="B135" s="45" t="s">
        <v>75</v>
      </c>
      <c r="C135" s="46">
        <v>7</v>
      </c>
      <c r="D135" s="47" t="s">
        <v>144</v>
      </c>
      <c r="E135" s="48" t="s">
        <v>262</v>
      </c>
    </row>
    <row r="136" spans="1:5" ht="50.1" customHeight="1" x14ac:dyDescent="0.25">
      <c r="A136" s="44" t="s">
        <v>30</v>
      </c>
      <c r="B136" s="45" t="s">
        <v>75</v>
      </c>
      <c r="C136" s="46">
        <v>7</v>
      </c>
      <c r="D136" s="47" t="s">
        <v>144</v>
      </c>
      <c r="E136" s="48" t="s">
        <v>263</v>
      </c>
    </row>
    <row r="137" spans="1:5" ht="50.1" customHeight="1" x14ac:dyDescent="0.25">
      <c r="A137" s="44" t="s">
        <v>30</v>
      </c>
      <c r="B137" s="45" t="s">
        <v>75</v>
      </c>
      <c r="C137" s="46">
        <v>7</v>
      </c>
      <c r="D137" s="47" t="s">
        <v>144</v>
      </c>
      <c r="E137" s="48" t="s">
        <v>264</v>
      </c>
    </row>
    <row r="138" spans="1:5" ht="50.1" customHeight="1" x14ac:dyDescent="0.25">
      <c r="A138" s="44" t="s">
        <v>30</v>
      </c>
      <c r="B138" s="45" t="s">
        <v>75</v>
      </c>
      <c r="C138" s="46">
        <v>7</v>
      </c>
      <c r="D138" s="47" t="s">
        <v>144</v>
      </c>
      <c r="E138" s="48" t="s">
        <v>265</v>
      </c>
    </row>
    <row r="139" spans="1:5" ht="50.1" customHeight="1" x14ac:dyDescent="0.25">
      <c r="A139" s="44" t="s">
        <v>30</v>
      </c>
      <c r="B139" s="45" t="s">
        <v>75</v>
      </c>
      <c r="C139" s="46">
        <v>7</v>
      </c>
      <c r="D139" s="47" t="s">
        <v>144</v>
      </c>
      <c r="E139" s="48" t="s">
        <v>243</v>
      </c>
    </row>
    <row r="140" spans="1:5" ht="50.1" customHeight="1" x14ac:dyDescent="0.25">
      <c r="A140" s="44" t="s">
        <v>30</v>
      </c>
      <c r="B140" s="45" t="s">
        <v>75</v>
      </c>
      <c r="C140" s="46">
        <v>7</v>
      </c>
      <c r="D140" s="47" t="s">
        <v>144</v>
      </c>
      <c r="E140" s="48" t="s">
        <v>266</v>
      </c>
    </row>
    <row r="141" spans="1:5" ht="50.1" customHeight="1" x14ac:dyDescent="0.25">
      <c r="A141" s="44" t="s">
        <v>30</v>
      </c>
      <c r="B141" s="45" t="s">
        <v>75</v>
      </c>
      <c r="C141" s="46">
        <v>7</v>
      </c>
      <c r="D141" s="47" t="s">
        <v>144</v>
      </c>
      <c r="E141" s="48" t="s">
        <v>267</v>
      </c>
    </row>
    <row r="142" spans="1:5" ht="50.1" customHeight="1" x14ac:dyDescent="0.25">
      <c r="A142" s="44" t="s">
        <v>30</v>
      </c>
      <c r="B142" s="45" t="s">
        <v>76</v>
      </c>
      <c r="C142" s="46">
        <v>6</v>
      </c>
      <c r="D142" s="47" t="s">
        <v>144</v>
      </c>
      <c r="E142" s="48" t="s">
        <v>268</v>
      </c>
    </row>
    <row r="143" spans="1:5" ht="50.1" customHeight="1" x14ac:dyDescent="0.25">
      <c r="A143" s="44" t="s">
        <v>30</v>
      </c>
      <c r="B143" s="45" t="s">
        <v>76</v>
      </c>
      <c r="C143" s="46">
        <v>6</v>
      </c>
      <c r="D143" s="47" t="s">
        <v>144</v>
      </c>
      <c r="E143" s="48" t="s">
        <v>269</v>
      </c>
    </row>
    <row r="144" spans="1:5" ht="50.1" customHeight="1" x14ac:dyDescent="0.25">
      <c r="A144" s="44" t="s">
        <v>30</v>
      </c>
      <c r="B144" s="45" t="s">
        <v>76</v>
      </c>
      <c r="C144" s="46">
        <v>7</v>
      </c>
      <c r="D144" s="47" t="s">
        <v>144</v>
      </c>
      <c r="E144" s="48" t="s">
        <v>270</v>
      </c>
    </row>
    <row r="145" spans="1:5" ht="50.1" customHeight="1" x14ac:dyDescent="0.25">
      <c r="A145" s="44" t="s">
        <v>30</v>
      </c>
      <c r="B145" s="45" t="s">
        <v>76</v>
      </c>
      <c r="C145" s="46">
        <v>6</v>
      </c>
      <c r="D145" s="47" t="s">
        <v>144</v>
      </c>
      <c r="E145" s="48" t="s">
        <v>271</v>
      </c>
    </row>
    <row r="146" spans="1:5" ht="50.1" customHeight="1" x14ac:dyDescent="0.25">
      <c r="A146" s="49" t="s">
        <v>30</v>
      </c>
      <c r="B146" s="50" t="s">
        <v>77</v>
      </c>
      <c r="C146" s="51">
        <v>5</v>
      </c>
      <c r="D146" s="52" t="s">
        <v>146</v>
      </c>
      <c r="E146" s="53" t="s">
        <v>272</v>
      </c>
    </row>
    <row r="147" spans="1:5" ht="50.1" customHeight="1" x14ac:dyDescent="0.25">
      <c r="A147" s="49" t="s">
        <v>30</v>
      </c>
      <c r="B147" s="50" t="s">
        <v>77</v>
      </c>
      <c r="C147" s="51">
        <v>5</v>
      </c>
      <c r="D147" s="52" t="s">
        <v>146</v>
      </c>
      <c r="E147" s="53" t="s">
        <v>273</v>
      </c>
    </row>
    <row r="148" spans="1:5" ht="50.1" customHeight="1" x14ac:dyDescent="0.25">
      <c r="A148" s="49" t="s">
        <v>30</v>
      </c>
      <c r="B148" s="50" t="s">
        <v>77</v>
      </c>
      <c r="C148" s="51">
        <v>5</v>
      </c>
      <c r="D148" s="52" t="s">
        <v>146</v>
      </c>
      <c r="E148" s="53" t="s">
        <v>274</v>
      </c>
    </row>
    <row r="149" spans="1:5" ht="50.1" customHeight="1" x14ac:dyDescent="0.25">
      <c r="A149" s="44" t="s">
        <v>30</v>
      </c>
      <c r="B149" s="45" t="s">
        <v>77</v>
      </c>
      <c r="C149" s="46">
        <v>7</v>
      </c>
      <c r="D149" s="47" t="s">
        <v>144</v>
      </c>
      <c r="E149" s="48" t="s">
        <v>275</v>
      </c>
    </row>
    <row r="150" spans="1:5" ht="50.1" customHeight="1" x14ac:dyDescent="0.25">
      <c r="A150" s="44" t="s">
        <v>30</v>
      </c>
      <c r="B150" s="45" t="s">
        <v>77</v>
      </c>
      <c r="C150" s="46">
        <v>7</v>
      </c>
      <c r="D150" s="47" t="s">
        <v>144</v>
      </c>
      <c r="E150" s="48" t="s">
        <v>276</v>
      </c>
    </row>
    <row r="151" spans="1:5" ht="50.1" customHeight="1" x14ac:dyDescent="0.25">
      <c r="A151" s="44" t="s">
        <v>30</v>
      </c>
      <c r="B151" s="45" t="s">
        <v>77</v>
      </c>
      <c r="C151" s="46">
        <v>7</v>
      </c>
      <c r="D151" s="47" t="s">
        <v>144</v>
      </c>
      <c r="E151" s="48" t="s">
        <v>277</v>
      </c>
    </row>
    <row r="152" spans="1:5" ht="50.1" customHeight="1" x14ac:dyDescent="0.25">
      <c r="A152" s="44" t="s">
        <v>30</v>
      </c>
      <c r="B152" s="45" t="s">
        <v>77</v>
      </c>
      <c r="C152" s="46">
        <v>7</v>
      </c>
      <c r="D152" s="47" t="s">
        <v>144</v>
      </c>
      <c r="E152" s="48" t="s">
        <v>154</v>
      </c>
    </row>
    <row r="153" spans="1:5" ht="50.1" customHeight="1" x14ac:dyDescent="0.25">
      <c r="A153" s="44" t="s">
        <v>30</v>
      </c>
      <c r="B153" s="45" t="s">
        <v>77</v>
      </c>
      <c r="C153" s="46">
        <v>7</v>
      </c>
      <c r="D153" s="47" t="s">
        <v>144</v>
      </c>
      <c r="E153" s="48" t="s">
        <v>278</v>
      </c>
    </row>
    <row r="154" spans="1:5" ht="50.1" customHeight="1" x14ac:dyDescent="0.25">
      <c r="A154" s="44" t="s">
        <v>30</v>
      </c>
      <c r="B154" s="45" t="s">
        <v>77</v>
      </c>
      <c r="C154" s="46">
        <v>7</v>
      </c>
      <c r="D154" s="47" t="s">
        <v>144</v>
      </c>
      <c r="E154" s="48" t="s">
        <v>279</v>
      </c>
    </row>
    <row r="155" spans="1:5" ht="50.1" customHeight="1" x14ac:dyDescent="0.25">
      <c r="A155" s="54" t="s">
        <v>30</v>
      </c>
      <c r="B155" s="55" t="s">
        <v>78</v>
      </c>
      <c r="C155" s="56">
        <v>4</v>
      </c>
      <c r="D155" s="57" t="s">
        <v>189</v>
      </c>
      <c r="E155" s="58" t="s">
        <v>280</v>
      </c>
    </row>
    <row r="156" spans="1:5" ht="50.1" customHeight="1" x14ac:dyDescent="0.25">
      <c r="A156" s="54" t="s">
        <v>30</v>
      </c>
      <c r="B156" s="55" t="s">
        <v>78</v>
      </c>
      <c r="C156" s="56">
        <v>4</v>
      </c>
      <c r="D156" s="57" t="s">
        <v>189</v>
      </c>
      <c r="E156" s="58" t="s">
        <v>281</v>
      </c>
    </row>
    <row r="157" spans="1:5" ht="50.1" customHeight="1" x14ac:dyDescent="0.25">
      <c r="A157" s="44" t="s">
        <v>30</v>
      </c>
      <c r="B157" s="45" t="s">
        <v>78</v>
      </c>
      <c r="C157" s="46">
        <v>6</v>
      </c>
      <c r="D157" s="47" t="s">
        <v>144</v>
      </c>
      <c r="E157" s="48" t="s">
        <v>282</v>
      </c>
    </row>
    <row r="158" spans="1:5" ht="50.1" customHeight="1" x14ac:dyDescent="0.25">
      <c r="A158" s="44" t="s">
        <v>30</v>
      </c>
      <c r="B158" s="45" t="s">
        <v>78</v>
      </c>
      <c r="C158" s="46">
        <v>7</v>
      </c>
      <c r="D158" s="47" t="s">
        <v>144</v>
      </c>
      <c r="E158" s="48" t="s">
        <v>283</v>
      </c>
    </row>
    <row r="159" spans="1:5" ht="50.1" customHeight="1" x14ac:dyDescent="0.25">
      <c r="A159" s="44" t="s">
        <v>30</v>
      </c>
      <c r="B159" s="45" t="s">
        <v>78</v>
      </c>
      <c r="C159" s="46">
        <v>7</v>
      </c>
      <c r="D159" s="47" t="s">
        <v>144</v>
      </c>
      <c r="E159" s="48" t="s">
        <v>284</v>
      </c>
    </row>
    <row r="160" spans="1:5" ht="50.1" customHeight="1" x14ac:dyDescent="0.25">
      <c r="A160" s="44" t="s">
        <v>30</v>
      </c>
      <c r="B160" s="45" t="s">
        <v>78</v>
      </c>
      <c r="C160" s="46">
        <v>6</v>
      </c>
      <c r="D160" s="47" t="s">
        <v>144</v>
      </c>
      <c r="E160" s="48" t="s">
        <v>276</v>
      </c>
    </row>
    <row r="161" spans="1:5" ht="50.1" customHeight="1" x14ac:dyDescent="0.25">
      <c r="A161" s="54" t="s">
        <v>30</v>
      </c>
      <c r="B161" s="55" t="s">
        <v>79</v>
      </c>
      <c r="C161" s="56">
        <v>1</v>
      </c>
      <c r="D161" s="57" t="s">
        <v>189</v>
      </c>
      <c r="E161" s="58" t="s">
        <v>285</v>
      </c>
    </row>
    <row r="162" spans="1:5" ht="50.1" customHeight="1" x14ac:dyDescent="0.25">
      <c r="A162" s="49" t="s">
        <v>30</v>
      </c>
      <c r="B162" s="50" t="s">
        <v>79</v>
      </c>
      <c r="C162" s="51">
        <v>5</v>
      </c>
      <c r="D162" s="52" t="s">
        <v>146</v>
      </c>
      <c r="E162" s="53" t="s">
        <v>286</v>
      </c>
    </row>
    <row r="163" spans="1:5" ht="50.1" customHeight="1" x14ac:dyDescent="0.25">
      <c r="A163" s="49" t="s">
        <v>30</v>
      </c>
      <c r="B163" s="50" t="s">
        <v>79</v>
      </c>
      <c r="C163" s="51">
        <v>5</v>
      </c>
      <c r="D163" s="52" t="s">
        <v>146</v>
      </c>
      <c r="E163" s="53" t="s">
        <v>287</v>
      </c>
    </row>
    <row r="164" spans="1:5" ht="50.1" customHeight="1" x14ac:dyDescent="0.25">
      <c r="A164" s="44" t="s">
        <v>30</v>
      </c>
      <c r="B164" s="45" t="s">
        <v>79</v>
      </c>
      <c r="C164" s="46">
        <v>6</v>
      </c>
      <c r="D164" s="47" t="s">
        <v>144</v>
      </c>
      <c r="E164" s="48" t="s">
        <v>288</v>
      </c>
    </row>
    <row r="165" spans="1:5" ht="6" customHeight="1" x14ac:dyDescent="0.25"/>
    <row r="166" spans="1:5" ht="20.100000000000001" customHeight="1" x14ac:dyDescent="0.25">
      <c r="A166" s="65" t="s">
        <v>80</v>
      </c>
      <c r="B166" s="59"/>
      <c r="C166" s="59"/>
      <c r="D166" s="59"/>
      <c r="E166" s="59"/>
    </row>
    <row r="167" spans="1:5" ht="50.1" customHeight="1" x14ac:dyDescent="0.25">
      <c r="A167" s="44" t="s">
        <v>31</v>
      </c>
      <c r="B167" s="45" t="s">
        <v>81</v>
      </c>
      <c r="C167" s="46">
        <v>7</v>
      </c>
      <c r="D167" s="47" t="s">
        <v>144</v>
      </c>
      <c r="E167" s="48" t="s">
        <v>289</v>
      </c>
    </row>
    <row r="168" spans="1:5" ht="50.1" customHeight="1" x14ac:dyDescent="0.25">
      <c r="A168" s="44" t="s">
        <v>31</v>
      </c>
      <c r="B168" s="45" t="s">
        <v>82</v>
      </c>
      <c r="C168" s="46">
        <v>6</v>
      </c>
      <c r="D168" s="47" t="s">
        <v>144</v>
      </c>
      <c r="E168" s="48" t="s">
        <v>290</v>
      </c>
    </row>
    <row r="169" spans="1:5" ht="50.1" customHeight="1" x14ac:dyDescent="0.25">
      <c r="A169" s="44" t="s">
        <v>31</v>
      </c>
      <c r="B169" s="45" t="s">
        <v>83</v>
      </c>
      <c r="C169" s="46">
        <v>7</v>
      </c>
      <c r="D169" s="47" t="s">
        <v>144</v>
      </c>
      <c r="E169" s="48" t="s">
        <v>291</v>
      </c>
    </row>
    <row r="170" spans="1:5" ht="50.1" customHeight="1" x14ac:dyDescent="0.25">
      <c r="A170" s="44" t="s">
        <v>31</v>
      </c>
      <c r="B170" s="45" t="s">
        <v>83</v>
      </c>
      <c r="C170" s="46">
        <v>7</v>
      </c>
      <c r="D170" s="47" t="s">
        <v>144</v>
      </c>
      <c r="E170" s="48" t="s">
        <v>292</v>
      </c>
    </row>
    <row r="171" spans="1:5" ht="50.1" customHeight="1" x14ac:dyDescent="0.25">
      <c r="A171" s="44" t="s">
        <v>31</v>
      </c>
      <c r="B171" s="45" t="s">
        <v>83</v>
      </c>
      <c r="C171" s="46">
        <v>7</v>
      </c>
      <c r="D171" s="47" t="s">
        <v>144</v>
      </c>
      <c r="E171" s="48" t="s">
        <v>293</v>
      </c>
    </row>
    <row r="172" spans="1:5" ht="50.1" customHeight="1" x14ac:dyDescent="0.25">
      <c r="A172" s="44" t="s">
        <v>31</v>
      </c>
      <c r="B172" s="45" t="s">
        <v>83</v>
      </c>
      <c r="C172" s="46">
        <v>7</v>
      </c>
      <c r="D172" s="47" t="s">
        <v>144</v>
      </c>
      <c r="E172" s="48" t="s">
        <v>294</v>
      </c>
    </row>
    <row r="173" spans="1:5" ht="50.1" customHeight="1" x14ac:dyDescent="0.25">
      <c r="A173" s="54" t="s">
        <v>31</v>
      </c>
      <c r="B173" s="55" t="s">
        <v>84</v>
      </c>
      <c r="C173" s="56">
        <v>3</v>
      </c>
      <c r="D173" s="57" t="s">
        <v>189</v>
      </c>
      <c r="E173" s="58" t="s">
        <v>295</v>
      </c>
    </row>
    <row r="174" spans="1:5" ht="50.1" customHeight="1" x14ac:dyDescent="0.25">
      <c r="A174" s="54" t="s">
        <v>31</v>
      </c>
      <c r="B174" s="55" t="s">
        <v>84</v>
      </c>
      <c r="C174" s="56">
        <v>1</v>
      </c>
      <c r="D174" s="57" t="s">
        <v>189</v>
      </c>
      <c r="E174" s="58" t="s">
        <v>296</v>
      </c>
    </row>
    <row r="175" spans="1:5" ht="50.1" customHeight="1" x14ac:dyDescent="0.25">
      <c r="A175" s="49" t="s">
        <v>31</v>
      </c>
      <c r="B175" s="50" t="s">
        <v>84</v>
      </c>
      <c r="C175" s="51">
        <v>5</v>
      </c>
      <c r="D175" s="52" t="s">
        <v>146</v>
      </c>
      <c r="E175" s="53" t="s">
        <v>297</v>
      </c>
    </row>
    <row r="176" spans="1:5" ht="50.1" customHeight="1" x14ac:dyDescent="0.25">
      <c r="A176" s="44" t="s">
        <v>31</v>
      </c>
      <c r="B176" s="45" t="s">
        <v>84</v>
      </c>
      <c r="C176" s="46">
        <v>7</v>
      </c>
      <c r="D176" s="47" t="s">
        <v>144</v>
      </c>
      <c r="E176" s="48" t="s">
        <v>298</v>
      </c>
    </row>
    <row r="177" spans="1:5" ht="50.1" customHeight="1" x14ac:dyDescent="0.25">
      <c r="A177" s="44" t="s">
        <v>31</v>
      </c>
      <c r="B177" s="45" t="s">
        <v>84</v>
      </c>
      <c r="C177" s="46">
        <v>6</v>
      </c>
      <c r="D177" s="47" t="s">
        <v>144</v>
      </c>
      <c r="E177" s="48" t="s">
        <v>299</v>
      </c>
    </row>
    <row r="178" spans="1:5" ht="50.1" customHeight="1" x14ac:dyDescent="0.25">
      <c r="A178" s="44" t="s">
        <v>31</v>
      </c>
      <c r="B178" s="45" t="s">
        <v>84</v>
      </c>
      <c r="C178" s="46">
        <v>6</v>
      </c>
      <c r="D178" s="47" t="s">
        <v>144</v>
      </c>
      <c r="E178" s="48" t="s">
        <v>300</v>
      </c>
    </row>
    <row r="179" spans="1:5" ht="50.1" customHeight="1" x14ac:dyDescent="0.25">
      <c r="A179" s="44" t="s">
        <v>31</v>
      </c>
      <c r="B179" s="45" t="s">
        <v>84</v>
      </c>
      <c r="C179" s="46">
        <v>7</v>
      </c>
      <c r="D179" s="47" t="s">
        <v>144</v>
      </c>
      <c r="E179" s="48" t="s">
        <v>301</v>
      </c>
    </row>
    <row r="180" spans="1:5" ht="50.1" customHeight="1" x14ac:dyDescent="0.25">
      <c r="A180" s="44" t="s">
        <v>31</v>
      </c>
      <c r="B180" s="45" t="s">
        <v>84</v>
      </c>
      <c r="C180" s="46">
        <v>7</v>
      </c>
      <c r="D180" s="47" t="s">
        <v>144</v>
      </c>
      <c r="E180" s="48" t="s">
        <v>302</v>
      </c>
    </row>
    <row r="181" spans="1:5" ht="50.1" customHeight="1" x14ac:dyDescent="0.25">
      <c r="A181" s="44" t="s">
        <v>31</v>
      </c>
      <c r="B181" s="45" t="s">
        <v>84</v>
      </c>
      <c r="C181" s="46">
        <v>7</v>
      </c>
      <c r="D181" s="47" t="s">
        <v>144</v>
      </c>
      <c r="E181" s="48" t="s">
        <v>303</v>
      </c>
    </row>
    <row r="182" spans="1:5" ht="50.1" customHeight="1" x14ac:dyDescent="0.25">
      <c r="A182" s="44" t="s">
        <v>31</v>
      </c>
      <c r="B182" s="45" t="s">
        <v>84</v>
      </c>
      <c r="C182" s="46">
        <v>6</v>
      </c>
      <c r="D182" s="47" t="s">
        <v>144</v>
      </c>
      <c r="E182" s="48" t="s">
        <v>304</v>
      </c>
    </row>
    <row r="183" spans="1:5" ht="50.1" customHeight="1" x14ac:dyDescent="0.25">
      <c r="A183" s="44" t="s">
        <v>31</v>
      </c>
      <c r="B183" s="45" t="s">
        <v>84</v>
      </c>
      <c r="C183" s="46">
        <v>7</v>
      </c>
      <c r="D183" s="47" t="s">
        <v>144</v>
      </c>
      <c r="E183" s="48" t="s">
        <v>305</v>
      </c>
    </row>
    <row r="184" spans="1:5" ht="50.1" customHeight="1" x14ac:dyDescent="0.25">
      <c r="A184" s="54" t="s">
        <v>31</v>
      </c>
      <c r="B184" s="55" t="s">
        <v>85</v>
      </c>
      <c r="C184" s="56">
        <v>2</v>
      </c>
      <c r="D184" s="57" t="s">
        <v>189</v>
      </c>
      <c r="E184" s="58" t="s">
        <v>306</v>
      </c>
    </row>
    <row r="185" spans="1:5" ht="50.1" customHeight="1" x14ac:dyDescent="0.25">
      <c r="A185" s="49" t="s">
        <v>31</v>
      </c>
      <c r="B185" s="50" t="s">
        <v>85</v>
      </c>
      <c r="C185" s="51">
        <v>5</v>
      </c>
      <c r="D185" s="52" t="s">
        <v>146</v>
      </c>
      <c r="E185" s="53" t="s">
        <v>307</v>
      </c>
    </row>
    <row r="186" spans="1:5" ht="6" customHeight="1" x14ac:dyDescent="0.25"/>
    <row r="187" spans="1:5" ht="20.100000000000001" customHeight="1" x14ac:dyDescent="0.25">
      <c r="A187" s="65" t="s">
        <v>87</v>
      </c>
      <c r="B187" s="59"/>
      <c r="C187" s="59"/>
      <c r="D187" s="59"/>
      <c r="E187" s="59"/>
    </row>
    <row r="188" spans="1:5" ht="50.1" customHeight="1" x14ac:dyDescent="0.25">
      <c r="A188" s="44" t="s">
        <v>32</v>
      </c>
      <c r="B188" s="45" t="s">
        <v>88</v>
      </c>
      <c r="C188" s="46">
        <v>6</v>
      </c>
      <c r="D188" s="47" t="s">
        <v>144</v>
      </c>
      <c r="E188" s="48" t="s">
        <v>308</v>
      </c>
    </row>
    <row r="189" spans="1:5" ht="50.1" customHeight="1" x14ac:dyDescent="0.25">
      <c r="A189" s="44" t="s">
        <v>32</v>
      </c>
      <c r="B189" s="45" t="s">
        <v>88</v>
      </c>
      <c r="C189" s="46">
        <v>7</v>
      </c>
      <c r="D189" s="47" t="s">
        <v>144</v>
      </c>
      <c r="E189" s="48" t="s">
        <v>309</v>
      </c>
    </row>
    <row r="190" spans="1:5" ht="50.1" customHeight="1" x14ac:dyDescent="0.25">
      <c r="A190" s="44" t="s">
        <v>32</v>
      </c>
      <c r="B190" s="45" t="s">
        <v>88</v>
      </c>
      <c r="C190" s="46">
        <v>7</v>
      </c>
      <c r="D190" s="47" t="s">
        <v>144</v>
      </c>
      <c r="E190" s="48" t="s">
        <v>310</v>
      </c>
    </row>
    <row r="191" spans="1:5" ht="50.1" customHeight="1" x14ac:dyDescent="0.25">
      <c r="A191" s="44" t="s">
        <v>32</v>
      </c>
      <c r="B191" s="45" t="s">
        <v>88</v>
      </c>
      <c r="C191" s="46">
        <v>7</v>
      </c>
      <c r="D191" s="47" t="s">
        <v>144</v>
      </c>
      <c r="E191" s="48" t="s">
        <v>311</v>
      </c>
    </row>
    <row r="192" spans="1:5" ht="50.1" customHeight="1" x14ac:dyDescent="0.25">
      <c r="A192" s="44" t="s">
        <v>32</v>
      </c>
      <c r="B192" s="45" t="s">
        <v>88</v>
      </c>
      <c r="C192" s="46">
        <v>7</v>
      </c>
      <c r="D192" s="47" t="s">
        <v>144</v>
      </c>
      <c r="E192" s="48" t="s">
        <v>312</v>
      </c>
    </row>
    <row r="193" spans="1:5" ht="50.1" customHeight="1" x14ac:dyDescent="0.25">
      <c r="A193" s="44" t="s">
        <v>32</v>
      </c>
      <c r="B193" s="45" t="s">
        <v>89</v>
      </c>
      <c r="C193" s="46">
        <v>6</v>
      </c>
      <c r="D193" s="47" t="s">
        <v>144</v>
      </c>
      <c r="E193" s="48" t="s">
        <v>313</v>
      </c>
    </row>
    <row r="194" spans="1:5" ht="50.1" customHeight="1" x14ac:dyDescent="0.25">
      <c r="A194" s="44" t="s">
        <v>32</v>
      </c>
      <c r="B194" s="45" t="s">
        <v>89</v>
      </c>
      <c r="C194" s="46">
        <v>7</v>
      </c>
      <c r="D194" s="47" t="s">
        <v>144</v>
      </c>
      <c r="E194" s="48" t="s">
        <v>314</v>
      </c>
    </row>
    <row r="195" spans="1:5" ht="50.1" customHeight="1" x14ac:dyDescent="0.25">
      <c r="A195" s="44" t="s">
        <v>32</v>
      </c>
      <c r="B195" s="45" t="s">
        <v>89</v>
      </c>
      <c r="C195" s="46">
        <v>6</v>
      </c>
      <c r="D195" s="47" t="s">
        <v>144</v>
      </c>
      <c r="E195" s="48" t="s">
        <v>315</v>
      </c>
    </row>
    <row r="196" spans="1:5" ht="50.1" customHeight="1" x14ac:dyDescent="0.25">
      <c r="A196" s="44" t="s">
        <v>32</v>
      </c>
      <c r="B196" s="45" t="s">
        <v>90</v>
      </c>
      <c r="C196" s="46">
        <v>7</v>
      </c>
      <c r="D196" s="47" t="s">
        <v>144</v>
      </c>
      <c r="E196" s="48" t="s">
        <v>316</v>
      </c>
    </row>
    <row r="197" spans="1:5" ht="50.1" customHeight="1" x14ac:dyDescent="0.25">
      <c r="A197" s="44" t="s">
        <v>32</v>
      </c>
      <c r="B197" s="45" t="s">
        <v>90</v>
      </c>
      <c r="C197" s="46">
        <v>6</v>
      </c>
      <c r="D197" s="47" t="s">
        <v>144</v>
      </c>
      <c r="E197" s="48" t="s">
        <v>317</v>
      </c>
    </row>
    <row r="198" spans="1:5" ht="50.1" customHeight="1" x14ac:dyDescent="0.25">
      <c r="A198" s="44" t="s">
        <v>32</v>
      </c>
      <c r="B198" s="45" t="s">
        <v>90</v>
      </c>
      <c r="C198" s="46">
        <v>7</v>
      </c>
      <c r="D198" s="47" t="s">
        <v>144</v>
      </c>
      <c r="E198" s="48" t="s">
        <v>318</v>
      </c>
    </row>
    <row r="199" spans="1:5" ht="50.1" customHeight="1" x14ac:dyDescent="0.25">
      <c r="A199" s="44" t="s">
        <v>32</v>
      </c>
      <c r="B199" s="45" t="s">
        <v>90</v>
      </c>
      <c r="C199" s="46">
        <v>7</v>
      </c>
      <c r="D199" s="47" t="s">
        <v>144</v>
      </c>
      <c r="E199" s="48" t="s">
        <v>319</v>
      </c>
    </row>
    <row r="200" spans="1:5" ht="50.1" customHeight="1" x14ac:dyDescent="0.25">
      <c r="A200" s="44" t="s">
        <v>32</v>
      </c>
      <c r="B200" s="45" t="s">
        <v>90</v>
      </c>
      <c r="C200" s="46">
        <v>7</v>
      </c>
      <c r="D200" s="47" t="s">
        <v>144</v>
      </c>
      <c r="E200" s="48" t="s">
        <v>320</v>
      </c>
    </row>
    <row r="201" spans="1:5" ht="50.1" customHeight="1" x14ac:dyDescent="0.25">
      <c r="A201" s="44" t="s">
        <v>32</v>
      </c>
      <c r="B201" s="45" t="s">
        <v>90</v>
      </c>
      <c r="C201" s="46">
        <v>7</v>
      </c>
      <c r="D201" s="47" t="s">
        <v>144</v>
      </c>
      <c r="E201" s="48" t="s">
        <v>321</v>
      </c>
    </row>
    <row r="202" spans="1:5" ht="50.1" customHeight="1" x14ac:dyDescent="0.25">
      <c r="A202" s="44" t="s">
        <v>32</v>
      </c>
      <c r="B202" s="45" t="s">
        <v>90</v>
      </c>
      <c r="C202" s="46">
        <v>7</v>
      </c>
      <c r="D202" s="47" t="s">
        <v>144</v>
      </c>
      <c r="E202" s="48" t="s">
        <v>322</v>
      </c>
    </row>
    <row r="203" spans="1:5" ht="50.1" customHeight="1" x14ac:dyDescent="0.25">
      <c r="A203" s="44" t="s">
        <v>32</v>
      </c>
      <c r="B203" s="45" t="s">
        <v>90</v>
      </c>
      <c r="C203" s="46">
        <v>7</v>
      </c>
      <c r="D203" s="47" t="s">
        <v>144</v>
      </c>
      <c r="E203" s="48" t="s">
        <v>323</v>
      </c>
    </row>
    <row r="204" spans="1:5" ht="50.1" customHeight="1" x14ac:dyDescent="0.25">
      <c r="A204" s="44" t="s">
        <v>32</v>
      </c>
      <c r="B204" s="45" t="s">
        <v>90</v>
      </c>
      <c r="C204" s="46">
        <v>7</v>
      </c>
      <c r="D204" s="47" t="s">
        <v>144</v>
      </c>
      <c r="E204" s="48" t="s">
        <v>324</v>
      </c>
    </row>
    <row r="205" spans="1:5" ht="50.1" customHeight="1" x14ac:dyDescent="0.25">
      <c r="A205" s="44" t="s">
        <v>32</v>
      </c>
      <c r="B205" s="45" t="s">
        <v>90</v>
      </c>
      <c r="C205" s="46">
        <v>7</v>
      </c>
      <c r="D205" s="47" t="s">
        <v>144</v>
      </c>
      <c r="E205" s="48" t="s">
        <v>325</v>
      </c>
    </row>
    <row r="206" spans="1:5" ht="50.1" customHeight="1" x14ac:dyDescent="0.25">
      <c r="A206" s="44" t="s">
        <v>32</v>
      </c>
      <c r="B206" s="45" t="s">
        <v>90</v>
      </c>
      <c r="C206" s="46">
        <v>7</v>
      </c>
      <c r="D206" s="47" t="s">
        <v>144</v>
      </c>
      <c r="E206" s="48" t="s">
        <v>326</v>
      </c>
    </row>
    <row r="207" spans="1:5" ht="50.1" customHeight="1" x14ac:dyDescent="0.25">
      <c r="A207" s="44" t="s">
        <v>32</v>
      </c>
      <c r="B207" s="45" t="s">
        <v>90</v>
      </c>
      <c r="C207" s="46">
        <v>7</v>
      </c>
      <c r="D207" s="47" t="s">
        <v>144</v>
      </c>
      <c r="E207" s="48" t="s">
        <v>327</v>
      </c>
    </row>
    <row r="208" spans="1:5" ht="50.1" customHeight="1" x14ac:dyDescent="0.25">
      <c r="A208" s="44" t="s">
        <v>32</v>
      </c>
      <c r="B208" s="45" t="s">
        <v>90</v>
      </c>
      <c r="C208" s="46">
        <v>7</v>
      </c>
      <c r="D208" s="47" t="s">
        <v>144</v>
      </c>
      <c r="E208" s="48" t="s">
        <v>328</v>
      </c>
    </row>
    <row r="209" spans="1:5" ht="50.1" customHeight="1" x14ac:dyDescent="0.25">
      <c r="A209" s="44" t="s">
        <v>32</v>
      </c>
      <c r="B209" s="45" t="s">
        <v>90</v>
      </c>
      <c r="C209" s="46">
        <v>7</v>
      </c>
      <c r="D209" s="47" t="s">
        <v>144</v>
      </c>
      <c r="E209" s="48" t="s">
        <v>329</v>
      </c>
    </row>
    <row r="210" spans="1:5" ht="50.1" customHeight="1" x14ac:dyDescent="0.25">
      <c r="A210" s="44" t="s">
        <v>32</v>
      </c>
      <c r="B210" s="45" t="s">
        <v>91</v>
      </c>
      <c r="C210" s="46">
        <v>7</v>
      </c>
      <c r="D210" s="47" t="s">
        <v>144</v>
      </c>
      <c r="E210" s="48" t="s">
        <v>330</v>
      </c>
    </row>
    <row r="211" spans="1:5" ht="50.1" customHeight="1" x14ac:dyDescent="0.25">
      <c r="A211" s="49" t="s">
        <v>32</v>
      </c>
      <c r="B211" s="50" t="s">
        <v>92</v>
      </c>
      <c r="C211" s="51">
        <v>5</v>
      </c>
      <c r="D211" s="52" t="s">
        <v>146</v>
      </c>
      <c r="E211" s="53" t="s">
        <v>331</v>
      </c>
    </row>
    <row r="212" spans="1:5" ht="50.1" customHeight="1" x14ac:dyDescent="0.25">
      <c r="A212" s="44" t="s">
        <v>32</v>
      </c>
      <c r="B212" s="45" t="s">
        <v>92</v>
      </c>
      <c r="C212" s="46">
        <v>7</v>
      </c>
      <c r="D212" s="47" t="s">
        <v>144</v>
      </c>
      <c r="E212" s="48" t="s">
        <v>332</v>
      </c>
    </row>
    <row r="213" spans="1:5" ht="50.1" customHeight="1" x14ac:dyDescent="0.25">
      <c r="A213" s="44" t="s">
        <v>32</v>
      </c>
      <c r="B213" s="45" t="s">
        <v>92</v>
      </c>
      <c r="C213" s="46">
        <v>6</v>
      </c>
      <c r="D213" s="47" t="s">
        <v>144</v>
      </c>
      <c r="E213" s="48" t="s">
        <v>154</v>
      </c>
    </row>
    <row r="214" spans="1:5" ht="50.1" customHeight="1" x14ac:dyDescent="0.25">
      <c r="A214" s="44" t="s">
        <v>32</v>
      </c>
      <c r="B214" s="45" t="s">
        <v>92</v>
      </c>
      <c r="C214" s="46">
        <v>6</v>
      </c>
      <c r="D214" s="47" t="s">
        <v>144</v>
      </c>
      <c r="E214" s="48" t="s">
        <v>333</v>
      </c>
    </row>
    <row r="215" spans="1:5" ht="50.1" customHeight="1" x14ac:dyDescent="0.25">
      <c r="A215" s="44" t="s">
        <v>32</v>
      </c>
      <c r="B215" s="45" t="s">
        <v>92</v>
      </c>
      <c r="C215" s="46">
        <v>7</v>
      </c>
      <c r="D215" s="47" t="s">
        <v>144</v>
      </c>
      <c r="E215" s="48" t="s">
        <v>334</v>
      </c>
    </row>
    <row r="216" spans="1:5" ht="50.1" customHeight="1" x14ac:dyDescent="0.25">
      <c r="A216" s="44" t="s">
        <v>32</v>
      </c>
      <c r="B216" s="45" t="s">
        <v>92</v>
      </c>
      <c r="C216" s="46">
        <v>7</v>
      </c>
      <c r="D216" s="47" t="s">
        <v>144</v>
      </c>
      <c r="E216" s="48" t="s">
        <v>335</v>
      </c>
    </row>
    <row r="217" spans="1:5" ht="50.1" customHeight="1" x14ac:dyDescent="0.25">
      <c r="A217" s="54" t="s">
        <v>32</v>
      </c>
      <c r="B217" s="55" t="s">
        <v>93</v>
      </c>
      <c r="C217" s="56">
        <v>4</v>
      </c>
      <c r="D217" s="57" t="s">
        <v>189</v>
      </c>
      <c r="E217" s="58" t="s">
        <v>336</v>
      </c>
    </row>
    <row r="218" spans="1:5" ht="50.1" customHeight="1" x14ac:dyDescent="0.25">
      <c r="A218" s="44" t="s">
        <v>32</v>
      </c>
      <c r="B218" s="45" t="s">
        <v>93</v>
      </c>
      <c r="C218" s="46">
        <v>7</v>
      </c>
      <c r="D218" s="47" t="s">
        <v>144</v>
      </c>
      <c r="E218" s="48" t="s">
        <v>337</v>
      </c>
    </row>
    <row r="219" spans="1:5" ht="50.1" customHeight="1" x14ac:dyDescent="0.25">
      <c r="A219" s="44" t="s">
        <v>32</v>
      </c>
      <c r="B219" s="45" t="s">
        <v>93</v>
      </c>
      <c r="C219" s="46">
        <v>6</v>
      </c>
      <c r="D219" s="47" t="s">
        <v>144</v>
      </c>
      <c r="E219" s="48" t="s">
        <v>338</v>
      </c>
    </row>
    <row r="220" spans="1:5" ht="50.1" customHeight="1" x14ac:dyDescent="0.25">
      <c r="A220" s="44" t="s">
        <v>32</v>
      </c>
      <c r="B220" s="45" t="s">
        <v>93</v>
      </c>
      <c r="C220" s="46">
        <v>6</v>
      </c>
      <c r="D220" s="47" t="s">
        <v>144</v>
      </c>
      <c r="E220" s="48" t="s">
        <v>339</v>
      </c>
    </row>
    <row r="221" spans="1:5" ht="50.1" customHeight="1" x14ac:dyDescent="0.25">
      <c r="A221" s="44" t="s">
        <v>32</v>
      </c>
      <c r="B221" s="45" t="s">
        <v>93</v>
      </c>
      <c r="C221" s="46">
        <v>7</v>
      </c>
      <c r="D221" s="47" t="s">
        <v>144</v>
      </c>
      <c r="E221" s="48" t="s">
        <v>340</v>
      </c>
    </row>
    <row r="222" spans="1:5" ht="50.1" customHeight="1" x14ac:dyDescent="0.25">
      <c r="A222" s="44" t="s">
        <v>32</v>
      </c>
      <c r="B222" s="45" t="s">
        <v>93</v>
      </c>
      <c r="C222" s="46">
        <v>7</v>
      </c>
      <c r="D222" s="47" t="s">
        <v>144</v>
      </c>
      <c r="E222" s="48" t="s">
        <v>341</v>
      </c>
    </row>
    <row r="223" spans="1:5" ht="50.1" customHeight="1" x14ac:dyDescent="0.25">
      <c r="A223" s="44" t="s">
        <v>32</v>
      </c>
      <c r="B223" s="45" t="s">
        <v>93</v>
      </c>
      <c r="C223" s="46">
        <v>6</v>
      </c>
      <c r="D223" s="47" t="s">
        <v>144</v>
      </c>
      <c r="E223" s="48" t="s">
        <v>342</v>
      </c>
    </row>
    <row r="224" spans="1:5" ht="50.1" customHeight="1" x14ac:dyDescent="0.25">
      <c r="A224" s="54" t="s">
        <v>32</v>
      </c>
      <c r="B224" s="55" t="s">
        <v>94</v>
      </c>
      <c r="C224" s="56">
        <v>4</v>
      </c>
      <c r="D224" s="57" t="s">
        <v>189</v>
      </c>
      <c r="E224" s="58" t="s">
        <v>241</v>
      </c>
    </row>
    <row r="225" spans="1:5" ht="50.1" customHeight="1" x14ac:dyDescent="0.25">
      <c r="A225" s="44" t="s">
        <v>32</v>
      </c>
      <c r="B225" s="45" t="s">
        <v>94</v>
      </c>
      <c r="C225" s="46">
        <v>7</v>
      </c>
      <c r="D225" s="47" t="s">
        <v>144</v>
      </c>
      <c r="E225" s="48" t="s">
        <v>343</v>
      </c>
    </row>
    <row r="226" spans="1:5" ht="50.1" customHeight="1" x14ac:dyDescent="0.25">
      <c r="A226" s="44" t="s">
        <v>32</v>
      </c>
      <c r="B226" s="45" t="s">
        <v>94</v>
      </c>
      <c r="C226" s="46">
        <v>7</v>
      </c>
      <c r="D226" s="47" t="s">
        <v>144</v>
      </c>
      <c r="E226" s="48" t="s">
        <v>344</v>
      </c>
    </row>
    <row r="227" spans="1:5" ht="50.1" customHeight="1" x14ac:dyDescent="0.25">
      <c r="A227" s="44" t="s">
        <v>32</v>
      </c>
      <c r="B227" s="45" t="s">
        <v>94</v>
      </c>
      <c r="C227" s="46">
        <v>7</v>
      </c>
      <c r="D227" s="47" t="s">
        <v>144</v>
      </c>
      <c r="E227" s="48" t="s">
        <v>345</v>
      </c>
    </row>
    <row r="228" spans="1:5" ht="50.1" customHeight="1" x14ac:dyDescent="0.25">
      <c r="A228" s="54" t="s">
        <v>32</v>
      </c>
      <c r="B228" s="55" t="s">
        <v>95</v>
      </c>
      <c r="C228" s="56">
        <v>2</v>
      </c>
      <c r="D228" s="57" t="s">
        <v>189</v>
      </c>
      <c r="E228" s="58" t="s">
        <v>346</v>
      </c>
    </row>
    <row r="229" spans="1:5" ht="50.1" customHeight="1" x14ac:dyDescent="0.25">
      <c r="A229" s="49" t="s">
        <v>32</v>
      </c>
      <c r="B229" s="50" t="s">
        <v>95</v>
      </c>
      <c r="C229" s="51">
        <v>5</v>
      </c>
      <c r="D229" s="52" t="s">
        <v>146</v>
      </c>
      <c r="E229" s="53" t="s">
        <v>347</v>
      </c>
    </row>
    <row r="230" spans="1:5" ht="50.1" customHeight="1" x14ac:dyDescent="0.25">
      <c r="A230" s="44" t="s">
        <v>32</v>
      </c>
      <c r="B230" s="45" t="s">
        <v>95</v>
      </c>
      <c r="C230" s="46">
        <v>6</v>
      </c>
      <c r="D230" s="47" t="s">
        <v>144</v>
      </c>
      <c r="E230" s="48" t="s">
        <v>348</v>
      </c>
    </row>
    <row r="231" spans="1:5" ht="50.1" customHeight="1" x14ac:dyDescent="0.25">
      <c r="A231" s="44" t="s">
        <v>32</v>
      </c>
      <c r="B231" s="45" t="s">
        <v>95</v>
      </c>
      <c r="C231" s="46">
        <v>6</v>
      </c>
      <c r="D231" s="47" t="s">
        <v>144</v>
      </c>
      <c r="E231" s="48" t="s">
        <v>349</v>
      </c>
    </row>
    <row r="232" spans="1:5" ht="50.1" customHeight="1" x14ac:dyDescent="0.25">
      <c r="A232" s="44" t="s">
        <v>32</v>
      </c>
      <c r="B232" s="45" t="s">
        <v>95</v>
      </c>
      <c r="C232" s="46">
        <v>6</v>
      </c>
      <c r="D232" s="47" t="s">
        <v>144</v>
      </c>
      <c r="E232" s="48" t="s">
        <v>350</v>
      </c>
    </row>
    <row r="233" spans="1:5" ht="50.1" customHeight="1" x14ac:dyDescent="0.25">
      <c r="A233" s="44" t="s">
        <v>32</v>
      </c>
      <c r="B233" s="45" t="s">
        <v>95</v>
      </c>
      <c r="C233" s="46">
        <v>7</v>
      </c>
      <c r="D233" s="47" t="s">
        <v>144</v>
      </c>
      <c r="E233" s="48" t="s">
        <v>351</v>
      </c>
    </row>
    <row r="234" spans="1:5" ht="50.1" customHeight="1" x14ac:dyDescent="0.25">
      <c r="A234" s="44" t="s">
        <v>32</v>
      </c>
      <c r="B234" s="45" t="s">
        <v>95</v>
      </c>
      <c r="C234" s="46">
        <v>7</v>
      </c>
      <c r="D234" s="47" t="s">
        <v>144</v>
      </c>
      <c r="E234" s="48" t="s">
        <v>154</v>
      </c>
    </row>
    <row r="235" spans="1:5" ht="50.1" customHeight="1" x14ac:dyDescent="0.25">
      <c r="A235" s="54" t="s">
        <v>32</v>
      </c>
      <c r="B235" s="55" t="s">
        <v>96</v>
      </c>
      <c r="C235" s="56">
        <v>3</v>
      </c>
      <c r="D235" s="57" t="s">
        <v>189</v>
      </c>
      <c r="E235" s="58" t="s">
        <v>352</v>
      </c>
    </row>
    <row r="236" spans="1:5" ht="50.1" customHeight="1" x14ac:dyDescent="0.25">
      <c r="A236" s="49" t="s">
        <v>32</v>
      </c>
      <c r="B236" s="50" t="s">
        <v>96</v>
      </c>
      <c r="C236" s="51">
        <v>5</v>
      </c>
      <c r="D236" s="52" t="s">
        <v>146</v>
      </c>
      <c r="E236" s="53" t="s">
        <v>353</v>
      </c>
    </row>
    <row r="237" spans="1:5" ht="50.1" customHeight="1" x14ac:dyDescent="0.25">
      <c r="A237" s="49" t="s">
        <v>32</v>
      </c>
      <c r="B237" s="50" t="s">
        <v>96</v>
      </c>
      <c r="C237" s="51">
        <v>5</v>
      </c>
      <c r="D237" s="52" t="s">
        <v>146</v>
      </c>
      <c r="E237" s="53" t="s">
        <v>154</v>
      </c>
    </row>
    <row r="238" spans="1:5" ht="50.1" customHeight="1" x14ac:dyDescent="0.25">
      <c r="A238" s="49" t="s">
        <v>32</v>
      </c>
      <c r="B238" s="50" t="s">
        <v>96</v>
      </c>
      <c r="C238" s="51">
        <v>5</v>
      </c>
      <c r="D238" s="52" t="s">
        <v>146</v>
      </c>
      <c r="E238" s="53" t="s">
        <v>354</v>
      </c>
    </row>
    <row r="239" spans="1:5" ht="50.1" customHeight="1" x14ac:dyDescent="0.25">
      <c r="A239" s="44" t="s">
        <v>32</v>
      </c>
      <c r="B239" s="45" t="s">
        <v>96</v>
      </c>
      <c r="C239" s="46">
        <v>6</v>
      </c>
      <c r="D239" s="47" t="s">
        <v>144</v>
      </c>
      <c r="E239" s="48" t="s">
        <v>355</v>
      </c>
    </row>
    <row r="240" spans="1:5" ht="50.1" customHeight="1" x14ac:dyDescent="0.25">
      <c r="A240" s="44" t="s">
        <v>32</v>
      </c>
      <c r="B240" s="45" t="s">
        <v>96</v>
      </c>
      <c r="C240" s="46">
        <v>6</v>
      </c>
      <c r="D240" s="47" t="s">
        <v>144</v>
      </c>
      <c r="E240" s="48" t="s">
        <v>356</v>
      </c>
    </row>
    <row r="241" spans="1:5" ht="50.1" customHeight="1" x14ac:dyDescent="0.25">
      <c r="A241" s="49" t="s">
        <v>32</v>
      </c>
      <c r="B241" s="50" t="s">
        <v>97</v>
      </c>
      <c r="C241" s="51">
        <v>5</v>
      </c>
      <c r="D241" s="52" t="s">
        <v>146</v>
      </c>
      <c r="E241" s="53" t="s">
        <v>357</v>
      </c>
    </row>
    <row r="242" spans="1:5" ht="50.1" customHeight="1" x14ac:dyDescent="0.25">
      <c r="A242" s="44" t="s">
        <v>32</v>
      </c>
      <c r="B242" s="45" t="s">
        <v>97</v>
      </c>
      <c r="C242" s="46">
        <v>7</v>
      </c>
      <c r="D242" s="47" t="s">
        <v>144</v>
      </c>
      <c r="E242" s="48" t="s">
        <v>358</v>
      </c>
    </row>
    <row r="243" spans="1:5" ht="50.1" customHeight="1" x14ac:dyDescent="0.25">
      <c r="A243" s="44" t="s">
        <v>32</v>
      </c>
      <c r="B243" s="45" t="s">
        <v>97</v>
      </c>
      <c r="C243" s="46">
        <v>6</v>
      </c>
      <c r="D243" s="47" t="s">
        <v>144</v>
      </c>
      <c r="E243" s="48" t="s">
        <v>359</v>
      </c>
    </row>
    <row r="244" spans="1:5" ht="50.1" customHeight="1" x14ac:dyDescent="0.25">
      <c r="A244" s="54" t="s">
        <v>32</v>
      </c>
      <c r="B244" s="55" t="s">
        <v>98</v>
      </c>
      <c r="C244" s="56">
        <v>4</v>
      </c>
      <c r="D244" s="57" t="s">
        <v>189</v>
      </c>
      <c r="E244" s="58" t="s">
        <v>360</v>
      </c>
    </row>
    <row r="245" spans="1:5" ht="50.1" customHeight="1" x14ac:dyDescent="0.25">
      <c r="A245" s="54" t="s">
        <v>32</v>
      </c>
      <c r="B245" s="55" t="s">
        <v>98</v>
      </c>
      <c r="C245" s="56">
        <v>2</v>
      </c>
      <c r="D245" s="57" t="s">
        <v>189</v>
      </c>
      <c r="E245" s="58" t="s">
        <v>361</v>
      </c>
    </row>
    <row r="246" spans="1:5" ht="6" customHeight="1" x14ac:dyDescent="0.25"/>
    <row r="248" spans="1:5" x14ac:dyDescent="0.25">
      <c r="A248" s="61" t="s">
        <v>362</v>
      </c>
      <c r="B248" s="59"/>
      <c r="C248" s="59"/>
      <c r="D248" s="59"/>
      <c r="E248" s="59"/>
    </row>
  </sheetData>
  <mergeCells count="10">
    <mergeCell ref="A1:E1"/>
    <mergeCell ref="A5:E5"/>
    <mergeCell ref="A8:E8"/>
    <mergeCell ref="A166:E166"/>
    <mergeCell ref="A2:E2"/>
    <mergeCell ref="A187:E187"/>
    <mergeCell ref="A248:E248"/>
    <mergeCell ref="A11:E11"/>
    <mergeCell ref="A63:E63"/>
    <mergeCell ref="A85:E8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80"/>
  <sheetViews>
    <sheetView showGridLines="0" topLeftCell="A21" workbookViewId="0">
      <selection sqref="A1:E1"/>
    </sheetView>
  </sheetViews>
  <sheetFormatPr baseColWidth="10" defaultColWidth="9.140625" defaultRowHeight="15" x14ac:dyDescent="0.25"/>
  <cols>
    <col min="1" max="1" width="26" customWidth="1"/>
    <col min="2" max="2" width="46" customWidth="1"/>
    <col min="3" max="3" width="12" customWidth="1"/>
    <col min="4" max="4" width="15" customWidth="1"/>
    <col min="5" max="5" width="72" customWidth="1"/>
  </cols>
  <sheetData>
    <row r="1" spans="1:5" ht="30" customHeight="1" x14ac:dyDescent="0.25">
      <c r="A1" s="60" t="s">
        <v>363</v>
      </c>
      <c r="B1" s="59"/>
      <c r="C1" s="59"/>
      <c r="D1" s="59"/>
      <c r="E1" s="59"/>
    </row>
    <row r="2" spans="1:5" ht="18" customHeight="1" x14ac:dyDescent="0.25">
      <c r="A2" s="64" t="s">
        <v>140</v>
      </c>
      <c r="B2" s="59"/>
      <c r="C2" s="59"/>
      <c r="D2" s="59"/>
      <c r="E2" s="59"/>
    </row>
    <row r="3" spans="1:5" ht="8.1" customHeight="1" x14ac:dyDescent="0.25"/>
    <row r="4" spans="1:5" ht="21.95" customHeight="1" x14ac:dyDescent="0.25">
      <c r="A4" s="3" t="s">
        <v>10</v>
      </c>
      <c r="B4" s="3" t="s">
        <v>37</v>
      </c>
      <c r="C4" s="3" t="s">
        <v>141</v>
      </c>
      <c r="D4" s="3" t="s">
        <v>142</v>
      </c>
      <c r="E4" s="3" t="s">
        <v>143</v>
      </c>
    </row>
    <row r="5" spans="1:5" ht="20.100000000000001" customHeight="1" x14ac:dyDescent="0.25">
      <c r="A5" s="65" t="s">
        <v>102</v>
      </c>
      <c r="B5" s="59"/>
      <c r="C5" s="59"/>
      <c r="D5" s="59"/>
      <c r="E5" s="59"/>
    </row>
    <row r="6" spans="1:5" ht="50.1" customHeight="1" x14ac:dyDescent="0.25">
      <c r="A6" s="44" t="s">
        <v>22</v>
      </c>
      <c r="B6" s="45" t="s">
        <v>46</v>
      </c>
      <c r="C6" s="46">
        <v>7</v>
      </c>
      <c r="D6" s="47" t="s">
        <v>144</v>
      </c>
      <c r="E6" s="48" t="s">
        <v>364</v>
      </c>
    </row>
    <row r="7" spans="1:5" ht="50.1" customHeight="1" x14ac:dyDescent="0.25">
      <c r="A7" s="44" t="s">
        <v>22</v>
      </c>
      <c r="B7" s="45" t="s">
        <v>46</v>
      </c>
      <c r="C7" s="46">
        <v>7</v>
      </c>
      <c r="D7" s="47" t="s">
        <v>144</v>
      </c>
      <c r="E7" s="48" t="s">
        <v>365</v>
      </c>
    </row>
    <row r="8" spans="1:5" ht="50.1" customHeight="1" x14ac:dyDescent="0.25">
      <c r="A8" s="44" t="s">
        <v>22</v>
      </c>
      <c r="B8" s="45" t="s">
        <v>103</v>
      </c>
      <c r="C8" s="46">
        <v>7</v>
      </c>
      <c r="D8" s="47" t="s">
        <v>144</v>
      </c>
      <c r="E8" s="48" t="s">
        <v>366</v>
      </c>
    </row>
    <row r="9" spans="1:5" ht="6" customHeight="1" x14ac:dyDescent="0.25"/>
    <row r="10" spans="1:5" ht="20.100000000000001" customHeight="1" x14ac:dyDescent="0.25">
      <c r="A10" s="65" t="s">
        <v>104</v>
      </c>
      <c r="B10" s="59"/>
      <c r="C10" s="59"/>
      <c r="D10" s="59"/>
      <c r="E10" s="59"/>
    </row>
    <row r="11" spans="1:5" ht="50.1" customHeight="1" x14ac:dyDescent="0.25">
      <c r="A11" s="44" t="s">
        <v>23</v>
      </c>
      <c r="B11" s="45" t="s">
        <v>105</v>
      </c>
      <c r="C11" s="46">
        <v>7</v>
      </c>
      <c r="D11" s="47" t="s">
        <v>144</v>
      </c>
      <c r="E11" s="48" t="s">
        <v>367</v>
      </c>
    </row>
    <row r="12" spans="1:5" ht="50.1" customHeight="1" x14ac:dyDescent="0.25">
      <c r="A12" s="44" t="s">
        <v>23</v>
      </c>
      <c r="B12" s="45" t="s">
        <v>105</v>
      </c>
      <c r="C12" s="46">
        <v>6</v>
      </c>
      <c r="D12" s="47" t="s">
        <v>144</v>
      </c>
      <c r="E12" s="48" t="s">
        <v>368</v>
      </c>
    </row>
    <row r="13" spans="1:5" ht="50.1" customHeight="1" x14ac:dyDescent="0.25">
      <c r="A13" s="44" t="s">
        <v>23</v>
      </c>
      <c r="B13" s="45" t="s">
        <v>106</v>
      </c>
      <c r="C13" s="46">
        <v>7</v>
      </c>
      <c r="D13" s="47" t="s">
        <v>144</v>
      </c>
      <c r="E13" s="48" t="s">
        <v>369</v>
      </c>
    </row>
    <row r="14" spans="1:5" ht="50.1" customHeight="1" x14ac:dyDescent="0.25">
      <c r="A14" s="44" t="s">
        <v>23</v>
      </c>
      <c r="B14" s="45" t="s">
        <v>106</v>
      </c>
      <c r="C14" s="46">
        <v>6</v>
      </c>
      <c r="D14" s="47" t="s">
        <v>144</v>
      </c>
      <c r="E14" s="48" t="s">
        <v>370</v>
      </c>
    </row>
    <row r="15" spans="1:5" ht="50.1" customHeight="1" x14ac:dyDescent="0.25">
      <c r="A15" s="44" t="s">
        <v>23</v>
      </c>
      <c r="B15" s="45" t="s">
        <v>106</v>
      </c>
      <c r="C15" s="46">
        <v>7</v>
      </c>
      <c r="D15" s="47" t="s">
        <v>144</v>
      </c>
      <c r="E15" s="48" t="s">
        <v>371</v>
      </c>
    </row>
    <row r="16" spans="1:5" ht="50.1" customHeight="1" x14ac:dyDescent="0.25">
      <c r="A16" s="44" t="s">
        <v>23</v>
      </c>
      <c r="B16" s="45" t="s">
        <v>107</v>
      </c>
      <c r="C16" s="46">
        <v>7</v>
      </c>
      <c r="D16" s="47" t="s">
        <v>144</v>
      </c>
      <c r="E16" s="48" t="s">
        <v>372</v>
      </c>
    </row>
    <row r="17" spans="1:5" ht="50.1" customHeight="1" x14ac:dyDescent="0.25">
      <c r="A17" s="44" t="s">
        <v>23</v>
      </c>
      <c r="B17" s="45" t="s">
        <v>107</v>
      </c>
      <c r="C17" s="46">
        <v>7</v>
      </c>
      <c r="D17" s="47" t="s">
        <v>144</v>
      </c>
      <c r="E17" s="48" t="s">
        <v>373</v>
      </c>
    </row>
    <row r="18" spans="1:5" ht="6" customHeight="1" x14ac:dyDescent="0.25"/>
    <row r="19" spans="1:5" ht="20.100000000000001" customHeight="1" x14ac:dyDescent="0.25">
      <c r="A19" s="65" t="s">
        <v>108</v>
      </c>
      <c r="B19" s="59"/>
      <c r="C19" s="59"/>
      <c r="D19" s="59"/>
      <c r="E19" s="59"/>
    </row>
    <row r="20" spans="1:5" ht="50.1" customHeight="1" x14ac:dyDescent="0.25">
      <c r="A20" s="44" t="s">
        <v>24</v>
      </c>
      <c r="B20" s="45" t="s">
        <v>109</v>
      </c>
      <c r="C20" s="46">
        <v>7</v>
      </c>
      <c r="D20" s="47" t="s">
        <v>144</v>
      </c>
      <c r="E20" s="48" t="s">
        <v>374</v>
      </c>
    </row>
    <row r="21" spans="1:5" ht="50.1" customHeight="1" x14ac:dyDescent="0.25">
      <c r="A21" s="44" t="s">
        <v>24</v>
      </c>
      <c r="B21" s="45" t="s">
        <v>109</v>
      </c>
      <c r="C21" s="46">
        <v>7</v>
      </c>
      <c r="D21" s="47" t="s">
        <v>144</v>
      </c>
      <c r="E21" s="48" t="s">
        <v>375</v>
      </c>
    </row>
    <row r="22" spans="1:5" ht="50.1" customHeight="1" x14ac:dyDescent="0.25">
      <c r="A22" s="44" t="s">
        <v>24</v>
      </c>
      <c r="B22" s="45" t="s">
        <v>109</v>
      </c>
      <c r="C22" s="46">
        <v>7</v>
      </c>
      <c r="D22" s="47" t="s">
        <v>144</v>
      </c>
      <c r="E22" s="48" t="s">
        <v>376</v>
      </c>
    </row>
    <row r="23" spans="1:5" ht="50.1" customHeight="1" x14ac:dyDescent="0.25">
      <c r="A23" s="44" t="s">
        <v>24</v>
      </c>
      <c r="B23" s="45" t="s">
        <v>109</v>
      </c>
      <c r="C23" s="46">
        <v>7</v>
      </c>
      <c r="D23" s="47" t="s">
        <v>144</v>
      </c>
      <c r="E23" s="48" t="s">
        <v>377</v>
      </c>
    </row>
    <row r="24" spans="1:5" ht="50.1" customHeight="1" x14ac:dyDescent="0.25">
      <c r="A24" s="54" t="s">
        <v>24</v>
      </c>
      <c r="B24" s="55" t="s">
        <v>110</v>
      </c>
      <c r="C24" s="56">
        <v>3</v>
      </c>
      <c r="D24" s="57" t="s">
        <v>189</v>
      </c>
      <c r="E24" s="58" t="s">
        <v>378</v>
      </c>
    </row>
    <row r="25" spans="1:5" ht="50.1" customHeight="1" x14ac:dyDescent="0.25">
      <c r="A25" s="44" t="s">
        <v>24</v>
      </c>
      <c r="B25" s="45" t="s">
        <v>110</v>
      </c>
      <c r="C25" s="46">
        <v>7</v>
      </c>
      <c r="D25" s="47" t="s">
        <v>144</v>
      </c>
      <c r="E25" s="48" t="s">
        <v>379</v>
      </c>
    </row>
    <row r="26" spans="1:5" ht="50.1" customHeight="1" x14ac:dyDescent="0.25">
      <c r="A26" s="44" t="s">
        <v>24</v>
      </c>
      <c r="B26" s="45" t="s">
        <v>110</v>
      </c>
      <c r="C26" s="46">
        <v>6</v>
      </c>
      <c r="D26" s="47" t="s">
        <v>144</v>
      </c>
      <c r="E26" s="48" t="s">
        <v>380</v>
      </c>
    </row>
    <row r="27" spans="1:5" ht="50.1" customHeight="1" x14ac:dyDescent="0.25">
      <c r="A27" s="44" t="s">
        <v>24</v>
      </c>
      <c r="B27" s="45" t="s">
        <v>110</v>
      </c>
      <c r="C27" s="46">
        <v>7</v>
      </c>
      <c r="D27" s="47" t="s">
        <v>144</v>
      </c>
      <c r="E27" s="48" t="s">
        <v>381</v>
      </c>
    </row>
    <row r="28" spans="1:5" ht="50.1" customHeight="1" x14ac:dyDescent="0.25">
      <c r="A28" s="44" t="s">
        <v>24</v>
      </c>
      <c r="B28" s="45" t="s">
        <v>110</v>
      </c>
      <c r="C28" s="46">
        <v>6</v>
      </c>
      <c r="D28" s="47" t="s">
        <v>144</v>
      </c>
      <c r="E28" s="48" t="s">
        <v>330</v>
      </c>
    </row>
    <row r="29" spans="1:5" ht="50.1" customHeight="1" x14ac:dyDescent="0.25">
      <c r="A29" s="44" t="s">
        <v>24</v>
      </c>
      <c r="B29" s="45" t="s">
        <v>110</v>
      </c>
      <c r="C29" s="46">
        <v>7</v>
      </c>
      <c r="D29" s="47" t="s">
        <v>144</v>
      </c>
      <c r="E29" s="48" t="s">
        <v>382</v>
      </c>
    </row>
    <row r="30" spans="1:5" ht="50.1" customHeight="1" x14ac:dyDescent="0.25">
      <c r="A30" s="44" t="s">
        <v>24</v>
      </c>
      <c r="B30" s="45" t="s">
        <v>110</v>
      </c>
      <c r="C30" s="46">
        <v>6</v>
      </c>
      <c r="D30" s="47" t="s">
        <v>144</v>
      </c>
      <c r="E30" s="48" t="s">
        <v>383</v>
      </c>
    </row>
    <row r="31" spans="1:5" ht="50.1" customHeight="1" x14ac:dyDescent="0.25">
      <c r="A31" s="44" t="s">
        <v>24</v>
      </c>
      <c r="B31" s="45" t="s">
        <v>110</v>
      </c>
      <c r="C31" s="46">
        <v>6</v>
      </c>
      <c r="D31" s="47" t="s">
        <v>144</v>
      </c>
      <c r="E31" s="48" t="s">
        <v>384</v>
      </c>
    </row>
    <row r="32" spans="1:5" ht="50.1" customHeight="1" x14ac:dyDescent="0.25">
      <c r="A32" s="44" t="s">
        <v>24</v>
      </c>
      <c r="B32" s="45" t="s">
        <v>110</v>
      </c>
      <c r="C32" s="46">
        <v>7</v>
      </c>
      <c r="D32" s="47" t="s">
        <v>144</v>
      </c>
      <c r="E32" s="48" t="s">
        <v>385</v>
      </c>
    </row>
    <row r="33" spans="1:5" ht="6" customHeight="1" x14ac:dyDescent="0.25"/>
    <row r="34" spans="1:5" ht="20.100000000000001" customHeight="1" x14ac:dyDescent="0.25">
      <c r="A34" s="65" t="s">
        <v>112</v>
      </c>
      <c r="B34" s="59"/>
      <c r="C34" s="59"/>
      <c r="D34" s="59"/>
      <c r="E34" s="59"/>
    </row>
    <row r="35" spans="1:5" ht="50.1" customHeight="1" x14ac:dyDescent="0.25">
      <c r="A35" s="44" t="s">
        <v>28</v>
      </c>
      <c r="B35" s="45" t="s">
        <v>53</v>
      </c>
      <c r="C35" s="46">
        <v>7</v>
      </c>
      <c r="D35" s="47" t="s">
        <v>144</v>
      </c>
      <c r="E35" s="48" t="s">
        <v>386</v>
      </c>
    </row>
    <row r="36" spans="1:5" ht="50.1" customHeight="1" x14ac:dyDescent="0.25">
      <c r="A36" s="44" t="s">
        <v>28</v>
      </c>
      <c r="B36" s="45" t="s">
        <v>53</v>
      </c>
      <c r="C36" s="46">
        <v>7</v>
      </c>
      <c r="D36" s="47" t="s">
        <v>144</v>
      </c>
      <c r="E36" s="48" t="s">
        <v>387</v>
      </c>
    </row>
    <row r="37" spans="1:5" ht="50.1" customHeight="1" x14ac:dyDescent="0.25">
      <c r="A37" s="44" t="s">
        <v>28</v>
      </c>
      <c r="B37" s="45" t="s">
        <v>53</v>
      </c>
      <c r="C37" s="46">
        <v>7</v>
      </c>
      <c r="D37" s="47" t="s">
        <v>144</v>
      </c>
      <c r="E37" s="48" t="s">
        <v>388</v>
      </c>
    </row>
    <row r="38" spans="1:5" ht="50.1" customHeight="1" x14ac:dyDescent="0.25">
      <c r="A38" s="44" t="s">
        <v>28</v>
      </c>
      <c r="B38" s="45" t="s">
        <v>53</v>
      </c>
      <c r="C38" s="46">
        <v>7</v>
      </c>
      <c r="D38" s="47" t="s">
        <v>144</v>
      </c>
      <c r="E38" s="48" t="s">
        <v>389</v>
      </c>
    </row>
    <row r="39" spans="1:5" ht="50.1" customHeight="1" x14ac:dyDescent="0.25">
      <c r="A39" s="44" t="s">
        <v>28</v>
      </c>
      <c r="B39" s="45" t="s">
        <v>53</v>
      </c>
      <c r="C39" s="46">
        <v>7</v>
      </c>
      <c r="D39" s="47" t="s">
        <v>144</v>
      </c>
      <c r="E39" s="48" t="s">
        <v>390</v>
      </c>
    </row>
    <row r="40" spans="1:5" ht="50.1" customHeight="1" x14ac:dyDescent="0.25">
      <c r="A40" s="44" t="s">
        <v>28</v>
      </c>
      <c r="B40" s="45" t="s">
        <v>58</v>
      </c>
      <c r="C40" s="46">
        <v>7</v>
      </c>
      <c r="D40" s="47" t="s">
        <v>144</v>
      </c>
      <c r="E40" s="48" t="s">
        <v>391</v>
      </c>
    </row>
    <row r="41" spans="1:5" ht="50.1" customHeight="1" x14ac:dyDescent="0.25">
      <c r="A41" s="54" t="s">
        <v>28</v>
      </c>
      <c r="B41" s="55" t="s">
        <v>56</v>
      </c>
      <c r="C41" s="56">
        <v>3</v>
      </c>
      <c r="D41" s="57" t="s">
        <v>189</v>
      </c>
      <c r="E41" s="58" t="s">
        <v>392</v>
      </c>
    </row>
    <row r="42" spans="1:5" ht="50.1" customHeight="1" x14ac:dyDescent="0.25">
      <c r="A42" s="44" t="s">
        <v>28</v>
      </c>
      <c r="B42" s="45" t="s">
        <v>56</v>
      </c>
      <c r="C42" s="46">
        <v>7</v>
      </c>
      <c r="D42" s="47" t="s">
        <v>144</v>
      </c>
      <c r="E42" s="48" t="s">
        <v>393</v>
      </c>
    </row>
    <row r="43" spans="1:5" ht="50.1" customHeight="1" x14ac:dyDescent="0.25">
      <c r="A43" s="44" t="s">
        <v>28</v>
      </c>
      <c r="B43" s="45" t="s">
        <v>56</v>
      </c>
      <c r="C43" s="46">
        <v>7</v>
      </c>
      <c r="D43" s="47" t="s">
        <v>144</v>
      </c>
      <c r="E43" s="48" t="s">
        <v>394</v>
      </c>
    </row>
    <row r="44" spans="1:5" ht="50.1" customHeight="1" x14ac:dyDescent="0.25">
      <c r="A44" s="44" t="s">
        <v>28</v>
      </c>
      <c r="B44" s="45" t="s">
        <v>56</v>
      </c>
      <c r="C44" s="46">
        <v>7</v>
      </c>
      <c r="D44" s="47" t="s">
        <v>144</v>
      </c>
      <c r="E44" s="48" t="s">
        <v>395</v>
      </c>
    </row>
    <row r="45" spans="1:5" ht="50.1" customHeight="1" x14ac:dyDescent="0.25">
      <c r="A45" s="44" t="s">
        <v>28</v>
      </c>
      <c r="B45" s="45" t="s">
        <v>56</v>
      </c>
      <c r="C45" s="46">
        <v>7</v>
      </c>
      <c r="D45" s="47" t="s">
        <v>144</v>
      </c>
      <c r="E45" s="48" t="s">
        <v>396</v>
      </c>
    </row>
    <row r="46" spans="1:5" ht="50.1" customHeight="1" x14ac:dyDescent="0.25">
      <c r="A46" s="44" t="s">
        <v>28</v>
      </c>
      <c r="B46" s="45" t="s">
        <v>56</v>
      </c>
      <c r="C46" s="46">
        <v>7</v>
      </c>
      <c r="D46" s="47" t="s">
        <v>144</v>
      </c>
      <c r="E46" s="48" t="s">
        <v>397</v>
      </c>
    </row>
    <row r="47" spans="1:5" ht="50.1" customHeight="1" x14ac:dyDescent="0.25">
      <c r="A47" s="44" t="s">
        <v>28</v>
      </c>
      <c r="B47" s="45" t="s">
        <v>56</v>
      </c>
      <c r="C47" s="46">
        <v>7</v>
      </c>
      <c r="D47" s="47" t="s">
        <v>144</v>
      </c>
      <c r="E47" s="48" t="s">
        <v>398</v>
      </c>
    </row>
    <row r="48" spans="1:5" ht="50.1" customHeight="1" x14ac:dyDescent="0.25">
      <c r="A48" s="44" t="s">
        <v>28</v>
      </c>
      <c r="B48" s="45" t="s">
        <v>56</v>
      </c>
      <c r="C48" s="46">
        <v>7</v>
      </c>
      <c r="D48" s="47" t="s">
        <v>144</v>
      </c>
      <c r="E48" s="48" t="s">
        <v>399</v>
      </c>
    </row>
    <row r="49" spans="1:5" ht="50.1" customHeight="1" x14ac:dyDescent="0.25">
      <c r="A49" s="44" t="s">
        <v>28</v>
      </c>
      <c r="B49" s="45" t="s">
        <v>56</v>
      </c>
      <c r="C49" s="46">
        <v>7</v>
      </c>
      <c r="D49" s="47" t="s">
        <v>144</v>
      </c>
      <c r="E49" s="48" t="s">
        <v>400</v>
      </c>
    </row>
    <row r="50" spans="1:5" ht="50.1" customHeight="1" x14ac:dyDescent="0.25">
      <c r="A50" s="44" t="s">
        <v>28</v>
      </c>
      <c r="B50" s="45" t="s">
        <v>56</v>
      </c>
      <c r="C50" s="46">
        <v>7</v>
      </c>
      <c r="D50" s="47" t="s">
        <v>144</v>
      </c>
      <c r="E50" s="48" t="s">
        <v>401</v>
      </c>
    </row>
    <row r="51" spans="1:5" ht="50.1" customHeight="1" x14ac:dyDescent="0.25">
      <c r="A51" s="44" t="s">
        <v>28</v>
      </c>
      <c r="B51" s="45" t="s">
        <v>56</v>
      </c>
      <c r="C51" s="46">
        <v>7</v>
      </c>
      <c r="D51" s="47" t="s">
        <v>144</v>
      </c>
      <c r="E51" s="48" t="s">
        <v>402</v>
      </c>
    </row>
    <row r="52" spans="1:5" ht="50.1" customHeight="1" x14ac:dyDescent="0.25">
      <c r="A52" s="54" t="s">
        <v>28</v>
      </c>
      <c r="B52" s="55" t="s">
        <v>52</v>
      </c>
      <c r="C52" s="56">
        <v>4</v>
      </c>
      <c r="D52" s="57" t="s">
        <v>189</v>
      </c>
      <c r="E52" s="58" t="s">
        <v>403</v>
      </c>
    </row>
    <row r="53" spans="1:5" ht="50.1" customHeight="1" x14ac:dyDescent="0.25">
      <c r="A53" s="44" t="s">
        <v>28</v>
      </c>
      <c r="B53" s="45" t="s">
        <v>52</v>
      </c>
      <c r="C53" s="46">
        <v>6</v>
      </c>
      <c r="D53" s="47" t="s">
        <v>144</v>
      </c>
      <c r="E53" s="48" t="s">
        <v>404</v>
      </c>
    </row>
    <row r="54" spans="1:5" ht="50.1" customHeight="1" x14ac:dyDescent="0.25">
      <c r="A54" s="44" t="s">
        <v>28</v>
      </c>
      <c r="B54" s="45" t="s">
        <v>52</v>
      </c>
      <c r="C54" s="46">
        <v>7</v>
      </c>
      <c r="D54" s="47" t="s">
        <v>144</v>
      </c>
      <c r="E54" s="48" t="s">
        <v>385</v>
      </c>
    </row>
    <row r="55" spans="1:5" ht="50.1" customHeight="1" x14ac:dyDescent="0.25">
      <c r="A55" s="44" t="s">
        <v>28</v>
      </c>
      <c r="B55" s="45" t="s">
        <v>52</v>
      </c>
      <c r="C55" s="46">
        <v>7</v>
      </c>
      <c r="D55" s="47" t="s">
        <v>144</v>
      </c>
      <c r="E55" s="48" t="s">
        <v>405</v>
      </c>
    </row>
    <row r="56" spans="1:5" ht="50.1" customHeight="1" x14ac:dyDescent="0.25">
      <c r="A56" s="44" t="s">
        <v>28</v>
      </c>
      <c r="B56" s="45" t="s">
        <v>52</v>
      </c>
      <c r="C56" s="46">
        <v>7</v>
      </c>
      <c r="D56" s="47" t="s">
        <v>144</v>
      </c>
      <c r="E56" s="48" t="s">
        <v>406</v>
      </c>
    </row>
    <row r="57" spans="1:5" ht="50.1" customHeight="1" x14ac:dyDescent="0.25">
      <c r="A57" s="44" t="s">
        <v>28</v>
      </c>
      <c r="B57" s="45" t="s">
        <v>52</v>
      </c>
      <c r="C57" s="46">
        <v>7</v>
      </c>
      <c r="D57" s="47" t="s">
        <v>144</v>
      </c>
      <c r="E57" s="48" t="s">
        <v>407</v>
      </c>
    </row>
    <row r="58" spans="1:5" ht="50.1" customHeight="1" x14ac:dyDescent="0.25">
      <c r="A58" s="44" t="s">
        <v>28</v>
      </c>
      <c r="B58" s="45" t="s">
        <v>52</v>
      </c>
      <c r="C58" s="46">
        <v>7</v>
      </c>
      <c r="D58" s="47" t="s">
        <v>144</v>
      </c>
      <c r="E58" s="48" t="s">
        <v>408</v>
      </c>
    </row>
    <row r="59" spans="1:5" ht="50.1" customHeight="1" x14ac:dyDescent="0.25">
      <c r="A59" s="44" t="s">
        <v>28</v>
      </c>
      <c r="B59" s="45" t="s">
        <v>52</v>
      </c>
      <c r="C59" s="46">
        <v>7</v>
      </c>
      <c r="D59" s="47" t="s">
        <v>144</v>
      </c>
      <c r="E59" s="48" t="s">
        <v>409</v>
      </c>
    </row>
    <row r="60" spans="1:5" ht="50.1" customHeight="1" x14ac:dyDescent="0.25">
      <c r="A60" s="44" t="s">
        <v>28</v>
      </c>
      <c r="B60" s="45" t="s">
        <v>52</v>
      </c>
      <c r="C60" s="46">
        <v>7</v>
      </c>
      <c r="D60" s="47" t="s">
        <v>144</v>
      </c>
      <c r="E60" s="48" t="s">
        <v>410</v>
      </c>
    </row>
    <row r="61" spans="1:5" ht="50.1" customHeight="1" x14ac:dyDescent="0.25">
      <c r="A61" s="44" t="s">
        <v>28</v>
      </c>
      <c r="B61" s="45" t="s">
        <v>52</v>
      </c>
      <c r="C61" s="46">
        <v>7</v>
      </c>
      <c r="D61" s="47" t="s">
        <v>144</v>
      </c>
      <c r="E61" s="48" t="s">
        <v>411</v>
      </c>
    </row>
    <row r="62" spans="1:5" ht="50.1" customHeight="1" x14ac:dyDescent="0.25">
      <c r="A62" s="44" t="s">
        <v>28</v>
      </c>
      <c r="B62" s="45" t="s">
        <v>52</v>
      </c>
      <c r="C62" s="46">
        <v>7</v>
      </c>
      <c r="D62" s="47" t="s">
        <v>144</v>
      </c>
      <c r="E62" s="48" t="s">
        <v>412</v>
      </c>
    </row>
    <row r="63" spans="1:5" ht="50.1" customHeight="1" x14ac:dyDescent="0.25">
      <c r="A63" s="54" t="s">
        <v>28</v>
      </c>
      <c r="B63" s="55" t="s">
        <v>55</v>
      </c>
      <c r="C63" s="56">
        <v>1</v>
      </c>
      <c r="D63" s="57" t="s">
        <v>189</v>
      </c>
      <c r="E63" s="58" t="s">
        <v>413</v>
      </c>
    </row>
    <row r="64" spans="1:5" ht="6" customHeight="1" x14ac:dyDescent="0.25"/>
    <row r="65" spans="1:5" ht="20.100000000000001" customHeight="1" x14ac:dyDescent="0.25">
      <c r="A65" s="65" t="s">
        <v>113</v>
      </c>
      <c r="B65" s="59"/>
      <c r="C65" s="59"/>
      <c r="D65" s="59"/>
      <c r="E65" s="59"/>
    </row>
    <row r="66" spans="1:5" ht="50.1" customHeight="1" x14ac:dyDescent="0.25">
      <c r="A66" s="44" t="s">
        <v>29</v>
      </c>
      <c r="B66" s="45" t="s">
        <v>66</v>
      </c>
      <c r="C66" s="46">
        <v>7</v>
      </c>
      <c r="D66" s="47" t="s">
        <v>144</v>
      </c>
      <c r="E66" s="48" t="s">
        <v>414</v>
      </c>
    </row>
    <row r="67" spans="1:5" ht="50.1" customHeight="1" x14ac:dyDescent="0.25">
      <c r="A67" s="44" t="s">
        <v>29</v>
      </c>
      <c r="B67" s="45" t="s">
        <v>66</v>
      </c>
      <c r="C67" s="46">
        <v>7</v>
      </c>
      <c r="D67" s="47" t="s">
        <v>144</v>
      </c>
      <c r="E67" s="48" t="s">
        <v>415</v>
      </c>
    </row>
    <row r="68" spans="1:5" ht="50.1" customHeight="1" x14ac:dyDescent="0.25">
      <c r="A68" s="44" t="s">
        <v>29</v>
      </c>
      <c r="B68" s="45" t="s">
        <v>66</v>
      </c>
      <c r="C68" s="46">
        <v>6</v>
      </c>
      <c r="D68" s="47" t="s">
        <v>144</v>
      </c>
      <c r="E68" s="48" t="s">
        <v>416</v>
      </c>
    </row>
    <row r="69" spans="1:5" ht="50.1" customHeight="1" x14ac:dyDescent="0.25">
      <c r="A69" s="44" t="s">
        <v>29</v>
      </c>
      <c r="B69" s="45" t="s">
        <v>62</v>
      </c>
      <c r="C69" s="46">
        <v>7</v>
      </c>
      <c r="D69" s="47" t="s">
        <v>144</v>
      </c>
      <c r="E69" s="48" t="s">
        <v>417</v>
      </c>
    </row>
    <row r="70" spans="1:5" ht="50.1" customHeight="1" x14ac:dyDescent="0.25">
      <c r="A70" s="44" t="s">
        <v>29</v>
      </c>
      <c r="B70" s="45" t="s">
        <v>62</v>
      </c>
      <c r="C70" s="46">
        <v>7</v>
      </c>
      <c r="D70" s="47" t="s">
        <v>144</v>
      </c>
      <c r="E70" s="48" t="s">
        <v>418</v>
      </c>
    </row>
    <row r="71" spans="1:5" ht="50.1" customHeight="1" x14ac:dyDescent="0.25">
      <c r="A71" s="44" t="s">
        <v>29</v>
      </c>
      <c r="B71" s="45" t="s">
        <v>62</v>
      </c>
      <c r="C71" s="46">
        <v>7</v>
      </c>
      <c r="D71" s="47" t="s">
        <v>144</v>
      </c>
      <c r="E71" s="48" t="s">
        <v>419</v>
      </c>
    </row>
    <row r="72" spans="1:5" ht="50.1" customHeight="1" x14ac:dyDescent="0.25">
      <c r="A72" s="44" t="s">
        <v>29</v>
      </c>
      <c r="B72" s="45" t="s">
        <v>62</v>
      </c>
      <c r="C72" s="46">
        <v>7</v>
      </c>
      <c r="D72" s="47" t="s">
        <v>144</v>
      </c>
      <c r="E72" s="48" t="s">
        <v>420</v>
      </c>
    </row>
    <row r="73" spans="1:5" ht="50.1" customHeight="1" x14ac:dyDescent="0.25">
      <c r="A73" s="44" t="s">
        <v>29</v>
      </c>
      <c r="B73" s="45" t="s">
        <v>63</v>
      </c>
      <c r="C73" s="46">
        <v>7</v>
      </c>
      <c r="D73" s="47" t="s">
        <v>144</v>
      </c>
      <c r="E73" s="48" t="s">
        <v>421</v>
      </c>
    </row>
    <row r="74" spans="1:5" ht="50.1" customHeight="1" x14ac:dyDescent="0.25">
      <c r="A74" s="44" t="s">
        <v>29</v>
      </c>
      <c r="B74" s="45" t="s">
        <v>67</v>
      </c>
      <c r="C74" s="46">
        <v>7</v>
      </c>
      <c r="D74" s="47" t="s">
        <v>144</v>
      </c>
      <c r="E74" s="48" t="s">
        <v>422</v>
      </c>
    </row>
    <row r="75" spans="1:5" ht="50.1" customHeight="1" x14ac:dyDescent="0.25">
      <c r="A75" s="44" t="s">
        <v>29</v>
      </c>
      <c r="B75" s="45" t="s">
        <v>67</v>
      </c>
      <c r="C75" s="46">
        <v>7</v>
      </c>
      <c r="D75" s="47" t="s">
        <v>144</v>
      </c>
      <c r="E75" s="48" t="s">
        <v>423</v>
      </c>
    </row>
    <row r="76" spans="1:5" ht="50.1" customHeight="1" x14ac:dyDescent="0.25">
      <c r="A76" s="44" t="s">
        <v>29</v>
      </c>
      <c r="B76" s="45" t="s">
        <v>67</v>
      </c>
      <c r="C76" s="46">
        <v>7</v>
      </c>
      <c r="D76" s="47" t="s">
        <v>144</v>
      </c>
      <c r="E76" s="48" t="s">
        <v>424</v>
      </c>
    </row>
    <row r="77" spans="1:5" ht="50.1" customHeight="1" x14ac:dyDescent="0.25">
      <c r="A77" s="49" t="s">
        <v>29</v>
      </c>
      <c r="B77" s="50" t="s">
        <v>64</v>
      </c>
      <c r="C77" s="51">
        <v>5</v>
      </c>
      <c r="D77" s="52" t="s">
        <v>146</v>
      </c>
      <c r="E77" s="53" t="s">
        <v>425</v>
      </c>
    </row>
    <row r="78" spans="1:5" ht="50.1" customHeight="1" x14ac:dyDescent="0.25">
      <c r="A78" s="44" t="s">
        <v>29</v>
      </c>
      <c r="B78" s="45" t="s">
        <v>64</v>
      </c>
      <c r="C78" s="46">
        <v>7</v>
      </c>
      <c r="D78" s="47" t="s">
        <v>144</v>
      </c>
      <c r="E78" s="48" t="s">
        <v>426</v>
      </c>
    </row>
    <row r="79" spans="1:5" ht="50.1" customHeight="1" x14ac:dyDescent="0.25">
      <c r="A79" s="44" t="s">
        <v>29</v>
      </c>
      <c r="B79" s="45" t="s">
        <v>64</v>
      </c>
      <c r="C79" s="46">
        <v>7</v>
      </c>
      <c r="D79" s="47" t="s">
        <v>144</v>
      </c>
      <c r="E79" s="48" t="s">
        <v>427</v>
      </c>
    </row>
    <row r="80" spans="1:5" ht="50.1" customHeight="1" x14ac:dyDescent="0.25">
      <c r="A80" s="44" t="s">
        <v>29</v>
      </c>
      <c r="B80" s="45" t="s">
        <v>64</v>
      </c>
      <c r="C80" s="46">
        <v>6</v>
      </c>
      <c r="D80" s="47" t="s">
        <v>144</v>
      </c>
      <c r="E80" s="48" t="s">
        <v>428</v>
      </c>
    </row>
    <row r="81" spans="1:5" ht="50.1" customHeight="1" x14ac:dyDescent="0.25">
      <c r="A81" s="44" t="s">
        <v>29</v>
      </c>
      <c r="B81" s="45" t="s">
        <v>64</v>
      </c>
      <c r="C81" s="46">
        <v>7</v>
      </c>
      <c r="D81" s="47" t="s">
        <v>144</v>
      </c>
      <c r="E81" s="48" t="s">
        <v>429</v>
      </c>
    </row>
    <row r="82" spans="1:5" ht="50.1" customHeight="1" x14ac:dyDescent="0.25">
      <c r="A82" s="44" t="s">
        <v>29</v>
      </c>
      <c r="B82" s="45" t="s">
        <v>64</v>
      </c>
      <c r="C82" s="46">
        <v>6</v>
      </c>
      <c r="D82" s="47" t="s">
        <v>144</v>
      </c>
      <c r="E82" s="48" t="s">
        <v>430</v>
      </c>
    </row>
    <row r="83" spans="1:5" ht="50.1" customHeight="1" x14ac:dyDescent="0.25">
      <c r="A83" s="54" t="s">
        <v>29</v>
      </c>
      <c r="B83" s="55" t="s">
        <v>61</v>
      </c>
      <c r="C83" s="56">
        <v>4</v>
      </c>
      <c r="D83" s="57" t="s">
        <v>189</v>
      </c>
      <c r="E83" s="58" t="s">
        <v>431</v>
      </c>
    </row>
    <row r="84" spans="1:5" ht="50.1" customHeight="1" x14ac:dyDescent="0.25">
      <c r="A84" s="44" t="s">
        <v>29</v>
      </c>
      <c r="B84" s="45" t="s">
        <v>61</v>
      </c>
      <c r="C84" s="46">
        <v>7</v>
      </c>
      <c r="D84" s="47" t="s">
        <v>144</v>
      </c>
      <c r="E84" s="48" t="s">
        <v>432</v>
      </c>
    </row>
    <row r="85" spans="1:5" ht="6" customHeight="1" x14ac:dyDescent="0.25"/>
    <row r="86" spans="1:5" ht="20.100000000000001" customHeight="1" x14ac:dyDescent="0.25">
      <c r="A86" s="65" t="s">
        <v>114</v>
      </c>
      <c r="B86" s="59"/>
      <c r="C86" s="59"/>
      <c r="D86" s="59"/>
      <c r="E86" s="59"/>
    </row>
    <row r="87" spans="1:5" ht="50.1" customHeight="1" x14ac:dyDescent="0.25">
      <c r="A87" s="44" t="s">
        <v>30</v>
      </c>
      <c r="B87" s="45" t="s">
        <v>115</v>
      </c>
      <c r="C87" s="46">
        <v>7</v>
      </c>
      <c r="D87" s="47" t="s">
        <v>144</v>
      </c>
      <c r="E87" s="48" t="s">
        <v>433</v>
      </c>
    </row>
    <row r="88" spans="1:5" ht="50.1" customHeight="1" x14ac:dyDescent="0.25">
      <c r="A88" s="44" t="s">
        <v>30</v>
      </c>
      <c r="B88" s="45" t="s">
        <v>115</v>
      </c>
      <c r="C88" s="46">
        <v>6</v>
      </c>
      <c r="D88" s="47" t="s">
        <v>144</v>
      </c>
      <c r="E88" s="48" t="s">
        <v>434</v>
      </c>
    </row>
    <row r="89" spans="1:5" ht="50.1" customHeight="1" x14ac:dyDescent="0.25">
      <c r="A89" s="44" t="s">
        <v>30</v>
      </c>
      <c r="B89" s="45" t="s">
        <v>115</v>
      </c>
      <c r="C89" s="46">
        <v>6</v>
      </c>
      <c r="D89" s="47" t="s">
        <v>144</v>
      </c>
      <c r="E89" s="48" t="s">
        <v>241</v>
      </c>
    </row>
    <row r="90" spans="1:5" ht="50.1" customHeight="1" x14ac:dyDescent="0.25">
      <c r="A90" s="44" t="s">
        <v>30</v>
      </c>
      <c r="B90" s="45" t="s">
        <v>116</v>
      </c>
      <c r="C90" s="46">
        <v>7</v>
      </c>
      <c r="D90" s="47" t="s">
        <v>144</v>
      </c>
      <c r="E90" s="48" t="s">
        <v>435</v>
      </c>
    </row>
    <row r="91" spans="1:5" ht="50.1" customHeight="1" x14ac:dyDescent="0.25">
      <c r="A91" s="44" t="s">
        <v>30</v>
      </c>
      <c r="B91" s="45" t="s">
        <v>116</v>
      </c>
      <c r="C91" s="46">
        <v>7</v>
      </c>
      <c r="D91" s="47" t="s">
        <v>144</v>
      </c>
      <c r="E91" s="48" t="s">
        <v>436</v>
      </c>
    </row>
    <row r="92" spans="1:5" ht="50.1" customHeight="1" x14ac:dyDescent="0.25">
      <c r="A92" s="44" t="s">
        <v>30</v>
      </c>
      <c r="B92" s="45" t="s">
        <v>116</v>
      </c>
      <c r="C92" s="46">
        <v>7</v>
      </c>
      <c r="D92" s="47" t="s">
        <v>144</v>
      </c>
      <c r="E92" s="48" t="s">
        <v>437</v>
      </c>
    </row>
    <row r="93" spans="1:5" ht="50.1" customHeight="1" x14ac:dyDescent="0.25">
      <c r="A93" s="44" t="s">
        <v>30</v>
      </c>
      <c r="B93" s="45" t="s">
        <v>117</v>
      </c>
      <c r="C93" s="46">
        <v>7</v>
      </c>
      <c r="D93" s="47" t="s">
        <v>144</v>
      </c>
      <c r="E93" s="48" t="s">
        <v>438</v>
      </c>
    </row>
    <row r="94" spans="1:5" ht="50.1" customHeight="1" x14ac:dyDescent="0.25">
      <c r="A94" s="44" t="s">
        <v>30</v>
      </c>
      <c r="B94" s="45" t="s">
        <v>118</v>
      </c>
      <c r="C94" s="46">
        <v>6</v>
      </c>
      <c r="D94" s="47" t="s">
        <v>144</v>
      </c>
      <c r="E94" s="48" t="s">
        <v>439</v>
      </c>
    </row>
    <row r="95" spans="1:5" ht="50.1" customHeight="1" x14ac:dyDescent="0.25">
      <c r="A95" s="44" t="s">
        <v>30</v>
      </c>
      <c r="B95" s="45" t="s">
        <v>118</v>
      </c>
      <c r="C95" s="46">
        <v>7</v>
      </c>
      <c r="D95" s="47" t="s">
        <v>144</v>
      </c>
      <c r="E95" s="48" t="s">
        <v>440</v>
      </c>
    </row>
    <row r="96" spans="1:5" ht="50.1" customHeight="1" x14ac:dyDescent="0.25">
      <c r="A96" s="49" t="s">
        <v>30</v>
      </c>
      <c r="B96" s="50" t="s">
        <v>69</v>
      </c>
      <c r="C96" s="51">
        <v>5</v>
      </c>
      <c r="D96" s="52" t="s">
        <v>146</v>
      </c>
      <c r="E96" s="53" t="s">
        <v>441</v>
      </c>
    </row>
    <row r="97" spans="1:5" ht="50.1" customHeight="1" x14ac:dyDescent="0.25">
      <c r="A97" s="44" t="s">
        <v>30</v>
      </c>
      <c r="B97" s="45" t="s">
        <v>69</v>
      </c>
      <c r="C97" s="46">
        <v>6</v>
      </c>
      <c r="D97" s="47" t="s">
        <v>144</v>
      </c>
      <c r="E97" s="48" t="s">
        <v>442</v>
      </c>
    </row>
    <row r="98" spans="1:5" ht="50.1" customHeight="1" x14ac:dyDescent="0.25">
      <c r="A98" s="49" t="s">
        <v>30</v>
      </c>
      <c r="B98" s="50" t="s">
        <v>73</v>
      </c>
      <c r="C98" s="51">
        <v>5</v>
      </c>
      <c r="D98" s="52" t="s">
        <v>146</v>
      </c>
      <c r="E98" s="53" t="s">
        <v>154</v>
      </c>
    </row>
    <row r="99" spans="1:5" ht="50.1" customHeight="1" x14ac:dyDescent="0.25">
      <c r="A99" s="49" t="s">
        <v>30</v>
      </c>
      <c r="B99" s="50" t="s">
        <v>73</v>
      </c>
      <c r="C99" s="51">
        <v>5</v>
      </c>
      <c r="D99" s="52" t="s">
        <v>146</v>
      </c>
      <c r="E99" s="53" t="s">
        <v>443</v>
      </c>
    </row>
    <row r="100" spans="1:5" ht="50.1" customHeight="1" x14ac:dyDescent="0.25">
      <c r="A100" s="44" t="s">
        <v>30</v>
      </c>
      <c r="B100" s="45" t="s">
        <v>73</v>
      </c>
      <c r="C100" s="46">
        <v>7</v>
      </c>
      <c r="D100" s="47" t="s">
        <v>144</v>
      </c>
      <c r="E100" s="48" t="s">
        <v>444</v>
      </c>
    </row>
    <row r="101" spans="1:5" ht="50.1" customHeight="1" x14ac:dyDescent="0.25">
      <c r="A101" s="44" t="s">
        <v>30</v>
      </c>
      <c r="B101" s="45" t="s">
        <v>73</v>
      </c>
      <c r="C101" s="46">
        <v>7</v>
      </c>
      <c r="D101" s="47" t="s">
        <v>144</v>
      </c>
      <c r="E101" s="48" t="s">
        <v>330</v>
      </c>
    </row>
    <row r="102" spans="1:5" ht="50.1" customHeight="1" x14ac:dyDescent="0.25">
      <c r="A102" s="44" t="s">
        <v>30</v>
      </c>
      <c r="B102" s="45" t="s">
        <v>73</v>
      </c>
      <c r="C102" s="46">
        <v>7</v>
      </c>
      <c r="D102" s="47" t="s">
        <v>144</v>
      </c>
      <c r="E102" s="48" t="s">
        <v>445</v>
      </c>
    </row>
    <row r="103" spans="1:5" ht="50.1" customHeight="1" x14ac:dyDescent="0.25">
      <c r="A103" s="44" t="s">
        <v>30</v>
      </c>
      <c r="B103" s="45" t="s">
        <v>73</v>
      </c>
      <c r="C103" s="46">
        <v>7</v>
      </c>
      <c r="D103" s="47" t="s">
        <v>144</v>
      </c>
      <c r="E103" s="48" t="s">
        <v>446</v>
      </c>
    </row>
    <row r="104" spans="1:5" ht="50.1" customHeight="1" x14ac:dyDescent="0.25">
      <c r="A104" s="44" t="s">
        <v>30</v>
      </c>
      <c r="B104" s="45" t="s">
        <v>73</v>
      </c>
      <c r="C104" s="46">
        <v>7</v>
      </c>
      <c r="D104" s="47" t="s">
        <v>144</v>
      </c>
      <c r="E104" s="48" t="s">
        <v>447</v>
      </c>
    </row>
    <row r="105" spans="1:5" ht="50.1" customHeight="1" x14ac:dyDescent="0.25">
      <c r="A105" s="44" t="s">
        <v>30</v>
      </c>
      <c r="B105" s="45" t="s">
        <v>73</v>
      </c>
      <c r="C105" s="46">
        <v>6</v>
      </c>
      <c r="D105" s="47" t="s">
        <v>144</v>
      </c>
      <c r="E105" s="48" t="s">
        <v>448</v>
      </c>
    </row>
    <row r="106" spans="1:5" ht="50.1" customHeight="1" x14ac:dyDescent="0.25">
      <c r="A106" s="44" t="s">
        <v>30</v>
      </c>
      <c r="B106" s="45" t="s">
        <v>73</v>
      </c>
      <c r="C106" s="46">
        <v>7</v>
      </c>
      <c r="D106" s="47" t="s">
        <v>144</v>
      </c>
      <c r="E106" s="48" t="s">
        <v>449</v>
      </c>
    </row>
    <row r="107" spans="1:5" ht="50.1" customHeight="1" x14ac:dyDescent="0.25">
      <c r="A107" s="49" t="s">
        <v>30</v>
      </c>
      <c r="B107" s="50" t="s">
        <v>74</v>
      </c>
      <c r="C107" s="51">
        <v>5</v>
      </c>
      <c r="D107" s="52" t="s">
        <v>146</v>
      </c>
      <c r="E107" s="53" t="s">
        <v>450</v>
      </c>
    </row>
    <row r="108" spans="1:5" ht="50.1" customHeight="1" x14ac:dyDescent="0.25">
      <c r="A108" s="49" t="s">
        <v>30</v>
      </c>
      <c r="B108" s="50" t="s">
        <v>74</v>
      </c>
      <c r="C108" s="51">
        <v>5</v>
      </c>
      <c r="D108" s="52" t="s">
        <v>146</v>
      </c>
      <c r="E108" s="53" t="s">
        <v>451</v>
      </c>
    </row>
    <row r="109" spans="1:5" ht="50.1" customHeight="1" x14ac:dyDescent="0.25">
      <c r="A109" s="44" t="s">
        <v>30</v>
      </c>
      <c r="B109" s="45" t="s">
        <v>74</v>
      </c>
      <c r="C109" s="46">
        <v>7</v>
      </c>
      <c r="D109" s="47" t="s">
        <v>144</v>
      </c>
      <c r="E109" s="48" t="s">
        <v>452</v>
      </c>
    </row>
    <row r="110" spans="1:5" ht="50.1" customHeight="1" x14ac:dyDescent="0.25">
      <c r="A110" s="44" t="s">
        <v>30</v>
      </c>
      <c r="B110" s="45" t="s">
        <v>74</v>
      </c>
      <c r="C110" s="46">
        <v>7</v>
      </c>
      <c r="D110" s="47" t="s">
        <v>144</v>
      </c>
      <c r="E110" s="48" t="s">
        <v>453</v>
      </c>
    </row>
    <row r="111" spans="1:5" ht="50.1" customHeight="1" x14ac:dyDescent="0.25">
      <c r="A111" s="49" t="s">
        <v>30</v>
      </c>
      <c r="B111" s="50" t="s">
        <v>119</v>
      </c>
      <c r="C111" s="51">
        <v>5</v>
      </c>
      <c r="D111" s="52" t="s">
        <v>146</v>
      </c>
      <c r="E111" s="53" t="s">
        <v>454</v>
      </c>
    </row>
    <row r="112" spans="1:5" ht="50.1" customHeight="1" x14ac:dyDescent="0.25">
      <c r="A112" s="44" t="s">
        <v>30</v>
      </c>
      <c r="B112" s="45" t="s">
        <v>119</v>
      </c>
      <c r="C112" s="46">
        <v>7</v>
      </c>
      <c r="D112" s="47" t="s">
        <v>144</v>
      </c>
      <c r="E112" s="48" t="s">
        <v>455</v>
      </c>
    </row>
    <row r="113" spans="1:5" ht="50.1" customHeight="1" x14ac:dyDescent="0.25">
      <c r="A113" s="44" t="s">
        <v>30</v>
      </c>
      <c r="B113" s="45" t="s">
        <v>119</v>
      </c>
      <c r="C113" s="46">
        <v>7</v>
      </c>
      <c r="D113" s="47" t="s">
        <v>144</v>
      </c>
      <c r="E113" s="48" t="s">
        <v>456</v>
      </c>
    </row>
    <row r="114" spans="1:5" ht="50.1" customHeight="1" x14ac:dyDescent="0.25">
      <c r="A114" s="44" t="s">
        <v>30</v>
      </c>
      <c r="B114" s="45" t="s">
        <v>119</v>
      </c>
      <c r="C114" s="46">
        <v>7</v>
      </c>
      <c r="D114" s="47" t="s">
        <v>144</v>
      </c>
      <c r="E114" s="48" t="s">
        <v>457</v>
      </c>
    </row>
    <row r="115" spans="1:5" ht="50.1" customHeight="1" x14ac:dyDescent="0.25">
      <c r="A115" s="44" t="s">
        <v>30</v>
      </c>
      <c r="B115" s="45" t="s">
        <v>119</v>
      </c>
      <c r="C115" s="46">
        <v>7</v>
      </c>
      <c r="D115" s="47" t="s">
        <v>144</v>
      </c>
      <c r="E115" s="48" t="s">
        <v>458</v>
      </c>
    </row>
    <row r="116" spans="1:5" ht="50.1" customHeight="1" x14ac:dyDescent="0.25">
      <c r="A116" s="54" t="s">
        <v>30</v>
      </c>
      <c r="B116" s="55" t="s">
        <v>120</v>
      </c>
      <c r="C116" s="56">
        <v>1</v>
      </c>
      <c r="D116" s="57" t="s">
        <v>189</v>
      </c>
      <c r="E116" s="58" t="s">
        <v>459</v>
      </c>
    </row>
    <row r="117" spans="1:5" ht="50.1" customHeight="1" x14ac:dyDescent="0.25">
      <c r="A117" s="54" t="s">
        <v>30</v>
      </c>
      <c r="B117" s="55" t="s">
        <v>120</v>
      </c>
      <c r="C117" s="56">
        <v>1</v>
      </c>
      <c r="D117" s="57" t="s">
        <v>189</v>
      </c>
      <c r="E117" s="58" t="s">
        <v>460</v>
      </c>
    </row>
    <row r="118" spans="1:5" ht="50.1" customHeight="1" x14ac:dyDescent="0.25">
      <c r="A118" s="54" t="s">
        <v>30</v>
      </c>
      <c r="B118" s="55" t="s">
        <v>120</v>
      </c>
      <c r="C118" s="56">
        <v>4</v>
      </c>
      <c r="D118" s="57" t="s">
        <v>189</v>
      </c>
      <c r="E118" s="58" t="s">
        <v>461</v>
      </c>
    </row>
    <row r="119" spans="1:5" ht="50.1" customHeight="1" x14ac:dyDescent="0.25">
      <c r="A119" s="49" t="s">
        <v>30</v>
      </c>
      <c r="B119" s="50" t="s">
        <v>120</v>
      </c>
      <c r="C119" s="51">
        <v>5</v>
      </c>
      <c r="D119" s="52" t="s">
        <v>146</v>
      </c>
      <c r="E119" s="53" t="s">
        <v>462</v>
      </c>
    </row>
    <row r="120" spans="1:5" ht="50.1" customHeight="1" x14ac:dyDescent="0.25">
      <c r="A120" s="44" t="s">
        <v>30</v>
      </c>
      <c r="B120" s="45" t="s">
        <v>120</v>
      </c>
      <c r="C120" s="46">
        <v>6</v>
      </c>
      <c r="D120" s="47" t="s">
        <v>144</v>
      </c>
      <c r="E120" s="48" t="s">
        <v>463</v>
      </c>
    </row>
    <row r="121" spans="1:5" ht="6" customHeight="1" x14ac:dyDescent="0.25"/>
    <row r="122" spans="1:5" ht="20.100000000000001" customHeight="1" x14ac:dyDescent="0.25">
      <c r="A122" s="65" t="s">
        <v>123</v>
      </c>
      <c r="B122" s="59"/>
      <c r="C122" s="59"/>
      <c r="D122" s="59"/>
      <c r="E122" s="59"/>
    </row>
    <row r="123" spans="1:5" ht="50.1" customHeight="1" x14ac:dyDescent="0.25">
      <c r="A123" s="44" t="s">
        <v>31</v>
      </c>
      <c r="B123" s="45" t="s">
        <v>124</v>
      </c>
      <c r="C123" s="46">
        <v>6</v>
      </c>
      <c r="D123" s="47" t="s">
        <v>144</v>
      </c>
      <c r="E123" s="48" t="s">
        <v>464</v>
      </c>
    </row>
    <row r="124" spans="1:5" ht="50.1" customHeight="1" x14ac:dyDescent="0.25">
      <c r="A124" s="49" t="s">
        <v>31</v>
      </c>
      <c r="B124" s="50" t="s">
        <v>125</v>
      </c>
      <c r="C124" s="51">
        <v>5</v>
      </c>
      <c r="D124" s="52" t="s">
        <v>146</v>
      </c>
      <c r="E124" s="53" t="s">
        <v>465</v>
      </c>
    </row>
    <row r="125" spans="1:5" ht="50.1" customHeight="1" x14ac:dyDescent="0.25">
      <c r="A125" s="49" t="s">
        <v>31</v>
      </c>
      <c r="B125" s="50" t="s">
        <v>125</v>
      </c>
      <c r="C125" s="51">
        <v>5</v>
      </c>
      <c r="D125" s="52" t="s">
        <v>146</v>
      </c>
      <c r="E125" s="53" t="s">
        <v>466</v>
      </c>
    </row>
    <row r="126" spans="1:5" ht="50.1" customHeight="1" x14ac:dyDescent="0.25">
      <c r="A126" s="44" t="s">
        <v>31</v>
      </c>
      <c r="B126" s="45" t="s">
        <v>125</v>
      </c>
      <c r="C126" s="46">
        <v>6</v>
      </c>
      <c r="D126" s="47" t="s">
        <v>144</v>
      </c>
      <c r="E126" s="48" t="s">
        <v>467</v>
      </c>
    </row>
    <row r="127" spans="1:5" ht="50.1" customHeight="1" x14ac:dyDescent="0.25">
      <c r="A127" s="44" t="s">
        <v>31</v>
      </c>
      <c r="B127" s="45" t="s">
        <v>125</v>
      </c>
      <c r="C127" s="46">
        <v>7</v>
      </c>
      <c r="D127" s="47" t="s">
        <v>144</v>
      </c>
      <c r="E127" s="48" t="s">
        <v>468</v>
      </c>
    </row>
    <row r="128" spans="1:5" ht="50.1" customHeight="1" x14ac:dyDescent="0.25">
      <c r="A128" s="44" t="s">
        <v>31</v>
      </c>
      <c r="B128" s="45" t="s">
        <v>125</v>
      </c>
      <c r="C128" s="46">
        <v>7</v>
      </c>
      <c r="D128" s="47" t="s">
        <v>144</v>
      </c>
      <c r="E128" s="48" t="s">
        <v>469</v>
      </c>
    </row>
    <row r="129" spans="1:5" ht="50.1" customHeight="1" x14ac:dyDescent="0.25">
      <c r="A129" s="44" t="s">
        <v>31</v>
      </c>
      <c r="B129" s="45" t="s">
        <v>125</v>
      </c>
      <c r="C129" s="46">
        <v>7</v>
      </c>
      <c r="D129" s="47" t="s">
        <v>144</v>
      </c>
      <c r="E129" s="48" t="s">
        <v>470</v>
      </c>
    </row>
    <row r="130" spans="1:5" ht="50.1" customHeight="1" x14ac:dyDescent="0.25">
      <c r="A130" s="44" t="s">
        <v>31</v>
      </c>
      <c r="B130" s="45" t="s">
        <v>125</v>
      </c>
      <c r="C130" s="46">
        <v>7</v>
      </c>
      <c r="D130" s="47" t="s">
        <v>144</v>
      </c>
      <c r="E130" s="48" t="s">
        <v>471</v>
      </c>
    </row>
    <row r="131" spans="1:5" ht="50.1" customHeight="1" x14ac:dyDescent="0.25">
      <c r="A131" s="44" t="s">
        <v>31</v>
      </c>
      <c r="B131" s="45" t="s">
        <v>125</v>
      </c>
      <c r="C131" s="46">
        <v>7</v>
      </c>
      <c r="D131" s="47" t="s">
        <v>144</v>
      </c>
      <c r="E131" s="48" t="s">
        <v>472</v>
      </c>
    </row>
    <row r="132" spans="1:5" ht="50.1" customHeight="1" x14ac:dyDescent="0.25">
      <c r="A132" s="54" t="s">
        <v>31</v>
      </c>
      <c r="B132" s="55" t="s">
        <v>126</v>
      </c>
      <c r="C132" s="56">
        <v>4</v>
      </c>
      <c r="D132" s="57" t="s">
        <v>189</v>
      </c>
      <c r="E132" s="58" t="s">
        <v>473</v>
      </c>
    </row>
    <row r="133" spans="1:5" ht="50.1" customHeight="1" x14ac:dyDescent="0.25">
      <c r="A133" s="49" t="s">
        <v>31</v>
      </c>
      <c r="B133" s="50" t="s">
        <v>126</v>
      </c>
      <c r="C133" s="51">
        <v>5</v>
      </c>
      <c r="D133" s="52" t="s">
        <v>146</v>
      </c>
      <c r="E133" s="53" t="s">
        <v>474</v>
      </c>
    </row>
    <row r="134" spans="1:5" ht="50.1" customHeight="1" x14ac:dyDescent="0.25">
      <c r="A134" s="44" t="s">
        <v>31</v>
      </c>
      <c r="B134" s="45" t="s">
        <v>126</v>
      </c>
      <c r="C134" s="46">
        <v>6</v>
      </c>
      <c r="D134" s="47" t="s">
        <v>144</v>
      </c>
      <c r="E134" s="48" t="s">
        <v>475</v>
      </c>
    </row>
    <row r="135" spans="1:5" ht="50.1" customHeight="1" x14ac:dyDescent="0.25">
      <c r="A135" s="44" t="s">
        <v>31</v>
      </c>
      <c r="B135" s="45" t="s">
        <v>126</v>
      </c>
      <c r="C135" s="46">
        <v>7</v>
      </c>
      <c r="D135" s="47" t="s">
        <v>144</v>
      </c>
      <c r="E135" s="48" t="s">
        <v>476</v>
      </c>
    </row>
    <row r="136" spans="1:5" ht="50.1" customHeight="1" x14ac:dyDescent="0.25">
      <c r="A136" s="54" t="s">
        <v>31</v>
      </c>
      <c r="B136" s="55" t="s">
        <v>127</v>
      </c>
      <c r="C136" s="56">
        <v>4</v>
      </c>
      <c r="D136" s="57" t="s">
        <v>189</v>
      </c>
      <c r="E136" s="58" t="s">
        <v>477</v>
      </c>
    </row>
    <row r="137" spans="1:5" ht="50.1" customHeight="1" x14ac:dyDescent="0.25">
      <c r="A137" s="54" t="s">
        <v>31</v>
      </c>
      <c r="B137" s="55" t="s">
        <v>127</v>
      </c>
      <c r="C137" s="56">
        <v>4</v>
      </c>
      <c r="D137" s="57" t="s">
        <v>189</v>
      </c>
      <c r="E137" s="58" t="s">
        <v>478</v>
      </c>
    </row>
    <row r="138" spans="1:5" ht="50.1" customHeight="1" x14ac:dyDescent="0.25">
      <c r="A138" s="49" t="s">
        <v>31</v>
      </c>
      <c r="B138" s="50" t="s">
        <v>127</v>
      </c>
      <c r="C138" s="51">
        <v>5</v>
      </c>
      <c r="D138" s="52" t="s">
        <v>146</v>
      </c>
      <c r="E138" s="53" t="s">
        <v>479</v>
      </c>
    </row>
    <row r="139" spans="1:5" ht="50.1" customHeight="1" x14ac:dyDescent="0.25">
      <c r="A139" s="44" t="s">
        <v>31</v>
      </c>
      <c r="B139" s="45" t="s">
        <v>127</v>
      </c>
      <c r="C139" s="46">
        <v>6</v>
      </c>
      <c r="D139" s="47" t="s">
        <v>144</v>
      </c>
      <c r="E139" s="48" t="s">
        <v>480</v>
      </c>
    </row>
    <row r="140" spans="1:5" ht="6" customHeight="1" x14ac:dyDescent="0.25"/>
    <row r="141" spans="1:5" ht="20.100000000000001" customHeight="1" x14ac:dyDescent="0.25">
      <c r="A141" s="65" t="s">
        <v>130</v>
      </c>
      <c r="B141" s="59"/>
      <c r="C141" s="59"/>
      <c r="D141" s="59"/>
      <c r="E141" s="59"/>
    </row>
    <row r="142" spans="1:5" ht="50.1" customHeight="1" x14ac:dyDescent="0.25">
      <c r="A142" s="44" t="s">
        <v>32</v>
      </c>
      <c r="B142" s="45" t="s">
        <v>131</v>
      </c>
      <c r="C142" s="46">
        <v>7</v>
      </c>
      <c r="D142" s="47" t="s">
        <v>144</v>
      </c>
      <c r="E142" s="48" t="s">
        <v>481</v>
      </c>
    </row>
    <row r="143" spans="1:5" ht="50.1" customHeight="1" x14ac:dyDescent="0.25">
      <c r="A143" s="44" t="s">
        <v>32</v>
      </c>
      <c r="B143" s="45" t="s">
        <v>131</v>
      </c>
      <c r="C143" s="46">
        <v>6</v>
      </c>
      <c r="D143" s="47" t="s">
        <v>144</v>
      </c>
      <c r="E143" s="48" t="s">
        <v>482</v>
      </c>
    </row>
    <row r="144" spans="1:5" ht="50.1" customHeight="1" x14ac:dyDescent="0.25">
      <c r="A144" s="44" t="s">
        <v>32</v>
      </c>
      <c r="B144" s="45" t="s">
        <v>131</v>
      </c>
      <c r="C144" s="46">
        <v>7</v>
      </c>
      <c r="D144" s="47" t="s">
        <v>144</v>
      </c>
      <c r="E144" s="48" t="s">
        <v>483</v>
      </c>
    </row>
    <row r="145" spans="1:5" ht="50.1" customHeight="1" x14ac:dyDescent="0.25">
      <c r="A145" s="54" t="s">
        <v>32</v>
      </c>
      <c r="B145" s="55" t="s">
        <v>91</v>
      </c>
      <c r="C145" s="56">
        <v>4</v>
      </c>
      <c r="D145" s="57" t="s">
        <v>189</v>
      </c>
      <c r="E145" s="58" t="s">
        <v>484</v>
      </c>
    </row>
    <row r="146" spans="1:5" ht="50.1" customHeight="1" x14ac:dyDescent="0.25">
      <c r="A146" s="44" t="s">
        <v>32</v>
      </c>
      <c r="B146" s="45" t="s">
        <v>91</v>
      </c>
      <c r="C146" s="46">
        <v>7</v>
      </c>
      <c r="D146" s="47" t="s">
        <v>144</v>
      </c>
      <c r="E146" s="48" t="s">
        <v>485</v>
      </c>
    </row>
    <row r="147" spans="1:5" ht="50.1" customHeight="1" x14ac:dyDescent="0.25">
      <c r="A147" s="44" t="s">
        <v>32</v>
      </c>
      <c r="B147" s="45" t="s">
        <v>91</v>
      </c>
      <c r="C147" s="46">
        <v>7</v>
      </c>
      <c r="D147" s="47" t="s">
        <v>144</v>
      </c>
      <c r="E147" s="48" t="s">
        <v>486</v>
      </c>
    </row>
    <row r="148" spans="1:5" ht="50.1" customHeight="1" x14ac:dyDescent="0.25">
      <c r="A148" s="44" t="s">
        <v>32</v>
      </c>
      <c r="B148" s="45" t="s">
        <v>91</v>
      </c>
      <c r="C148" s="46">
        <v>7</v>
      </c>
      <c r="D148" s="47" t="s">
        <v>144</v>
      </c>
      <c r="E148" s="48" t="s">
        <v>487</v>
      </c>
    </row>
    <row r="149" spans="1:5" ht="50.1" customHeight="1" x14ac:dyDescent="0.25">
      <c r="A149" s="44" t="s">
        <v>32</v>
      </c>
      <c r="B149" s="45" t="s">
        <v>91</v>
      </c>
      <c r="C149" s="46">
        <v>6</v>
      </c>
      <c r="D149" s="47" t="s">
        <v>144</v>
      </c>
      <c r="E149" s="48" t="s">
        <v>488</v>
      </c>
    </row>
    <row r="150" spans="1:5" ht="50.1" customHeight="1" x14ac:dyDescent="0.25">
      <c r="A150" s="44" t="s">
        <v>32</v>
      </c>
      <c r="B150" s="45" t="s">
        <v>91</v>
      </c>
      <c r="C150" s="46">
        <v>7</v>
      </c>
      <c r="D150" s="47" t="s">
        <v>144</v>
      </c>
      <c r="E150" s="48" t="s">
        <v>489</v>
      </c>
    </row>
    <row r="151" spans="1:5" ht="50.1" customHeight="1" x14ac:dyDescent="0.25">
      <c r="A151" s="44" t="s">
        <v>32</v>
      </c>
      <c r="B151" s="45" t="s">
        <v>91</v>
      </c>
      <c r="C151" s="46">
        <v>7</v>
      </c>
      <c r="D151" s="47" t="s">
        <v>144</v>
      </c>
      <c r="E151" s="48" t="s">
        <v>490</v>
      </c>
    </row>
    <row r="152" spans="1:5" ht="50.1" customHeight="1" x14ac:dyDescent="0.25">
      <c r="A152" s="49" t="s">
        <v>32</v>
      </c>
      <c r="B152" s="50" t="s">
        <v>132</v>
      </c>
      <c r="C152" s="51">
        <v>5</v>
      </c>
      <c r="D152" s="52" t="s">
        <v>146</v>
      </c>
      <c r="E152" s="53" t="s">
        <v>491</v>
      </c>
    </row>
    <row r="153" spans="1:5" ht="50.1" customHeight="1" x14ac:dyDescent="0.25">
      <c r="A153" s="49" t="s">
        <v>32</v>
      </c>
      <c r="B153" s="50" t="s">
        <v>132</v>
      </c>
      <c r="C153" s="51">
        <v>5</v>
      </c>
      <c r="D153" s="52" t="s">
        <v>146</v>
      </c>
      <c r="E153" s="53" t="s">
        <v>492</v>
      </c>
    </row>
    <row r="154" spans="1:5" ht="50.1" customHeight="1" x14ac:dyDescent="0.25">
      <c r="A154" s="44" t="s">
        <v>32</v>
      </c>
      <c r="B154" s="45" t="s">
        <v>132</v>
      </c>
      <c r="C154" s="46">
        <v>7</v>
      </c>
      <c r="D154" s="47" t="s">
        <v>144</v>
      </c>
      <c r="E154" s="48" t="s">
        <v>493</v>
      </c>
    </row>
    <row r="155" spans="1:5" ht="50.1" customHeight="1" x14ac:dyDescent="0.25">
      <c r="A155" s="54" t="s">
        <v>32</v>
      </c>
      <c r="B155" s="55" t="s">
        <v>96</v>
      </c>
      <c r="C155" s="56">
        <v>3</v>
      </c>
      <c r="D155" s="57" t="s">
        <v>189</v>
      </c>
      <c r="E155" s="58" t="s">
        <v>494</v>
      </c>
    </row>
    <row r="156" spans="1:5" ht="50.1" customHeight="1" x14ac:dyDescent="0.25">
      <c r="A156" s="54" t="s">
        <v>32</v>
      </c>
      <c r="B156" s="55" t="s">
        <v>96</v>
      </c>
      <c r="C156" s="56">
        <v>1</v>
      </c>
      <c r="D156" s="57" t="s">
        <v>189</v>
      </c>
      <c r="E156" s="58" t="s">
        <v>495</v>
      </c>
    </row>
    <row r="157" spans="1:5" ht="50.1" customHeight="1" x14ac:dyDescent="0.25">
      <c r="A157" s="54" t="s">
        <v>32</v>
      </c>
      <c r="B157" s="55" t="s">
        <v>96</v>
      </c>
      <c r="C157" s="56">
        <v>1</v>
      </c>
      <c r="D157" s="57" t="s">
        <v>189</v>
      </c>
      <c r="E157" s="58" t="s">
        <v>496</v>
      </c>
    </row>
    <row r="158" spans="1:5" ht="50.1" customHeight="1" x14ac:dyDescent="0.25">
      <c r="A158" s="54" t="s">
        <v>32</v>
      </c>
      <c r="B158" s="55" t="s">
        <v>96</v>
      </c>
      <c r="C158" s="56">
        <v>3</v>
      </c>
      <c r="D158" s="57" t="s">
        <v>189</v>
      </c>
      <c r="E158" s="58" t="s">
        <v>497</v>
      </c>
    </row>
    <row r="159" spans="1:5" ht="50.1" customHeight="1" x14ac:dyDescent="0.25">
      <c r="A159" s="54" t="s">
        <v>32</v>
      </c>
      <c r="B159" s="55" t="s">
        <v>96</v>
      </c>
      <c r="C159" s="56">
        <v>1</v>
      </c>
      <c r="D159" s="57" t="s">
        <v>189</v>
      </c>
      <c r="E159" s="58" t="s">
        <v>498</v>
      </c>
    </row>
    <row r="160" spans="1:5" ht="50.1" customHeight="1" x14ac:dyDescent="0.25">
      <c r="A160" s="54" t="s">
        <v>32</v>
      </c>
      <c r="B160" s="55" t="s">
        <v>96</v>
      </c>
      <c r="C160" s="56">
        <v>1</v>
      </c>
      <c r="D160" s="57" t="s">
        <v>189</v>
      </c>
      <c r="E160" s="58" t="s">
        <v>499</v>
      </c>
    </row>
    <row r="161" spans="1:5" ht="50.1" customHeight="1" x14ac:dyDescent="0.25">
      <c r="A161" s="54" t="s">
        <v>32</v>
      </c>
      <c r="B161" s="55" t="s">
        <v>96</v>
      </c>
      <c r="C161" s="56">
        <v>1</v>
      </c>
      <c r="D161" s="57" t="s">
        <v>189</v>
      </c>
      <c r="E161" s="58" t="s">
        <v>500</v>
      </c>
    </row>
    <row r="162" spans="1:5" ht="50.1" customHeight="1" x14ac:dyDescent="0.25">
      <c r="A162" s="44" t="s">
        <v>32</v>
      </c>
      <c r="B162" s="45" t="s">
        <v>96</v>
      </c>
      <c r="C162" s="46">
        <v>7</v>
      </c>
      <c r="D162" s="47" t="s">
        <v>144</v>
      </c>
      <c r="E162" s="48" t="s">
        <v>501</v>
      </c>
    </row>
    <row r="163" spans="1:5" ht="50.1" customHeight="1" x14ac:dyDescent="0.25">
      <c r="A163" s="44" t="s">
        <v>32</v>
      </c>
      <c r="B163" s="45" t="s">
        <v>96</v>
      </c>
      <c r="C163" s="46">
        <v>6</v>
      </c>
      <c r="D163" s="47" t="s">
        <v>144</v>
      </c>
      <c r="E163" s="48" t="s">
        <v>502</v>
      </c>
    </row>
    <row r="164" spans="1:5" ht="50.1" customHeight="1" x14ac:dyDescent="0.25">
      <c r="A164" s="44" t="s">
        <v>32</v>
      </c>
      <c r="B164" s="45" t="s">
        <v>96</v>
      </c>
      <c r="C164" s="46">
        <v>7</v>
      </c>
      <c r="D164" s="47" t="s">
        <v>144</v>
      </c>
      <c r="E164" s="48" t="s">
        <v>503</v>
      </c>
    </row>
    <row r="165" spans="1:5" ht="50.1" customHeight="1" x14ac:dyDescent="0.25">
      <c r="A165" s="44" t="s">
        <v>32</v>
      </c>
      <c r="B165" s="45" t="s">
        <v>96</v>
      </c>
      <c r="C165" s="46">
        <v>7</v>
      </c>
      <c r="D165" s="47" t="s">
        <v>144</v>
      </c>
      <c r="E165" s="48" t="s">
        <v>504</v>
      </c>
    </row>
    <row r="166" spans="1:5" ht="50.1" customHeight="1" x14ac:dyDescent="0.25">
      <c r="A166" s="44" t="s">
        <v>32</v>
      </c>
      <c r="B166" s="45" t="s">
        <v>96</v>
      </c>
      <c r="C166" s="46">
        <v>7</v>
      </c>
      <c r="D166" s="47" t="s">
        <v>144</v>
      </c>
      <c r="E166" s="48" t="s">
        <v>505</v>
      </c>
    </row>
    <row r="167" spans="1:5" ht="50.1" customHeight="1" x14ac:dyDescent="0.25">
      <c r="A167" s="44" t="s">
        <v>32</v>
      </c>
      <c r="B167" s="45" t="s">
        <v>96</v>
      </c>
      <c r="C167" s="46">
        <v>6</v>
      </c>
      <c r="D167" s="47" t="s">
        <v>144</v>
      </c>
      <c r="E167" s="48" t="s">
        <v>506</v>
      </c>
    </row>
    <row r="168" spans="1:5" ht="50.1" customHeight="1" x14ac:dyDescent="0.25">
      <c r="A168" s="44" t="s">
        <v>32</v>
      </c>
      <c r="B168" s="45" t="s">
        <v>96</v>
      </c>
      <c r="C168" s="46">
        <v>7</v>
      </c>
      <c r="D168" s="47" t="s">
        <v>144</v>
      </c>
      <c r="E168" s="48" t="s">
        <v>507</v>
      </c>
    </row>
    <row r="169" spans="1:5" ht="50.1" customHeight="1" x14ac:dyDescent="0.25">
      <c r="A169" s="44" t="s">
        <v>32</v>
      </c>
      <c r="B169" s="45" t="s">
        <v>96</v>
      </c>
      <c r="C169" s="46">
        <v>7</v>
      </c>
      <c r="D169" s="47" t="s">
        <v>144</v>
      </c>
      <c r="E169" s="48" t="s">
        <v>508</v>
      </c>
    </row>
    <row r="170" spans="1:5" ht="50.1" customHeight="1" x14ac:dyDescent="0.25">
      <c r="A170" s="44" t="s">
        <v>32</v>
      </c>
      <c r="B170" s="45" t="s">
        <v>96</v>
      </c>
      <c r="C170" s="46">
        <v>7</v>
      </c>
      <c r="D170" s="47" t="s">
        <v>144</v>
      </c>
      <c r="E170" s="48" t="s">
        <v>509</v>
      </c>
    </row>
    <row r="171" spans="1:5" ht="50.1" customHeight="1" x14ac:dyDescent="0.25">
      <c r="A171" s="44" t="s">
        <v>32</v>
      </c>
      <c r="B171" s="45" t="s">
        <v>96</v>
      </c>
      <c r="C171" s="46">
        <v>7</v>
      </c>
      <c r="D171" s="47" t="s">
        <v>144</v>
      </c>
      <c r="E171" s="48" t="s">
        <v>510</v>
      </c>
    </row>
    <row r="172" spans="1:5" ht="50.1" customHeight="1" x14ac:dyDescent="0.25">
      <c r="A172" s="44" t="s">
        <v>32</v>
      </c>
      <c r="B172" s="45" t="s">
        <v>96</v>
      </c>
      <c r="C172" s="46">
        <v>7</v>
      </c>
      <c r="D172" s="47" t="s">
        <v>144</v>
      </c>
      <c r="E172" s="48" t="s">
        <v>511</v>
      </c>
    </row>
    <row r="173" spans="1:5" ht="50.1" customHeight="1" x14ac:dyDescent="0.25">
      <c r="A173" s="44" t="s">
        <v>32</v>
      </c>
      <c r="B173" s="45" t="s">
        <v>96</v>
      </c>
      <c r="C173" s="46">
        <v>7</v>
      </c>
      <c r="D173" s="47" t="s">
        <v>144</v>
      </c>
      <c r="E173" s="48" t="s">
        <v>154</v>
      </c>
    </row>
    <row r="174" spans="1:5" ht="50.1" customHeight="1" x14ac:dyDescent="0.25">
      <c r="A174" s="54" t="s">
        <v>32</v>
      </c>
      <c r="B174" s="55" t="s">
        <v>134</v>
      </c>
      <c r="C174" s="56">
        <v>2</v>
      </c>
      <c r="D174" s="57" t="s">
        <v>189</v>
      </c>
      <c r="E174" s="58" t="s">
        <v>512</v>
      </c>
    </row>
    <row r="175" spans="1:5" ht="50.1" customHeight="1" x14ac:dyDescent="0.25">
      <c r="A175" s="44" t="s">
        <v>32</v>
      </c>
      <c r="B175" s="45" t="s">
        <v>134</v>
      </c>
      <c r="C175" s="46">
        <v>7</v>
      </c>
      <c r="D175" s="47" t="s">
        <v>144</v>
      </c>
      <c r="E175" s="48" t="s">
        <v>513</v>
      </c>
    </row>
    <row r="176" spans="1:5" ht="50.1" customHeight="1" x14ac:dyDescent="0.25">
      <c r="A176" s="44" t="s">
        <v>32</v>
      </c>
      <c r="B176" s="45" t="s">
        <v>134</v>
      </c>
      <c r="C176" s="46">
        <v>7</v>
      </c>
      <c r="D176" s="47" t="s">
        <v>144</v>
      </c>
      <c r="E176" s="48" t="s">
        <v>514</v>
      </c>
    </row>
    <row r="177" spans="1:5" ht="50.1" customHeight="1" x14ac:dyDescent="0.25">
      <c r="A177" s="44" t="s">
        <v>32</v>
      </c>
      <c r="B177" s="45" t="s">
        <v>135</v>
      </c>
      <c r="C177" s="46">
        <v>7</v>
      </c>
      <c r="D177" s="47" t="s">
        <v>144</v>
      </c>
      <c r="E177" s="48" t="s">
        <v>515</v>
      </c>
    </row>
    <row r="178" spans="1:5" ht="6" customHeight="1" x14ac:dyDescent="0.25"/>
    <row r="180" spans="1:5" x14ac:dyDescent="0.25">
      <c r="A180" s="61" t="s">
        <v>362</v>
      </c>
      <c r="B180" s="59"/>
      <c r="C180" s="59"/>
      <c r="D180" s="59"/>
      <c r="E180" s="59"/>
    </row>
  </sheetData>
  <mergeCells count="11">
    <mergeCell ref="A1:E1"/>
    <mergeCell ref="A5:E5"/>
    <mergeCell ref="A141:E141"/>
    <mergeCell ref="A122:E122"/>
    <mergeCell ref="A34:E34"/>
    <mergeCell ref="A180:E180"/>
    <mergeCell ref="A65:E65"/>
    <mergeCell ref="A2:E2"/>
    <mergeCell ref="A86:E86"/>
    <mergeCell ref="A10:E10"/>
    <mergeCell ref="A19:E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Análisis Global NPS</vt:lpstr>
      <vt:lpstr>Detalle 2025-10</vt:lpstr>
      <vt:lpstr>Detalle 2025-20</vt:lpstr>
      <vt:lpstr>Comentarios 2025-10</vt:lpstr>
      <vt:lpstr>Comentarios 2025-20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Sergio Javier Román Díaz</cp:lastModifiedBy>
  <dcterms:created xsi:type="dcterms:W3CDTF">2026-04-02T18:49:25Z</dcterms:created>
  <dcterms:modified xsi:type="dcterms:W3CDTF">2026-04-02T18:54:41Z</dcterms:modified>
</cp:coreProperties>
</file>